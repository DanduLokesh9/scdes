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rettbutz/Desktop/DES/AI Strategist/Strategy/SCDES Permitting June2026/"/>
    </mc:Choice>
  </mc:AlternateContent>
  <xr:revisionPtr revIDLastSave="0" documentId="13_ncr:1_{79682FF9-A18C-534F-930A-4BA606E771C0}" xr6:coauthVersionLast="47" xr6:coauthVersionMax="47" xr10:uidLastSave="{00000000-0000-0000-0000-000000000000}"/>
  <bookViews>
    <workbookView xWindow="3380" yWindow="940" windowWidth="29780" windowHeight="19380" tabRatio="500" xr2:uid="{00000000-000D-0000-FFFF-FFFF00000000}"/>
  </bookViews>
  <sheets>
    <sheet name="0 · Read Me &amp; Method" sheetId="1" r:id="rId1"/>
    <sheet name="1 · Source Files" sheetId="2" r:id="rId2"/>
    <sheet name="2 · Data Quality Log" sheetId="3" r:id="rId3"/>
    <sheet name="3 · Table A — As Presented" sheetId="4" r:id="rId4"/>
    <sheet name="4 · Table B — Re-weighted" sheetId="5" r:id="rId5"/>
    <sheet name="5 · Gaps &amp; Needed Data" sheetId="6" r:id="rId6"/>
    <sheet name="6 · PowerBI Source Catalog" sheetId="7" r:id="rId7"/>
    <sheet name="7 · Target90 Capture Log" sheetId="8" r:id="rId8"/>
    <sheet name="8 · Target90 Headline Data" sheetId="9" r:id="rId9"/>
    <sheet name="9 · Target90 Full Capture" sheetId="10" r:id="rId10"/>
    <sheet name="10 · Corrected Completion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11" l="1"/>
  <c r="E19" i="11" s="1"/>
  <c r="C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U501" i="5"/>
  <c r="T501" i="5"/>
  <c r="S501" i="5"/>
  <c r="R501" i="5"/>
  <c r="U500" i="5"/>
  <c r="T500" i="5"/>
  <c r="S500" i="5"/>
  <c r="R500" i="5"/>
  <c r="U499" i="5"/>
  <c r="T499" i="5"/>
  <c r="S499" i="5"/>
  <c r="R499" i="5"/>
  <c r="U498" i="5"/>
  <c r="T498" i="5"/>
  <c r="S498" i="5"/>
  <c r="R498" i="5"/>
  <c r="U497" i="5"/>
  <c r="T497" i="5"/>
  <c r="S497" i="5"/>
  <c r="R497" i="5"/>
  <c r="V497" i="5" s="1"/>
  <c r="U496" i="5"/>
  <c r="V496" i="5" s="1"/>
  <c r="T496" i="5"/>
  <c r="S496" i="5"/>
  <c r="R496" i="5"/>
  <c r="U495" i="5"/>
  <c r="T495" i="5"/>
  <c r="S495" i="5"/>
  <c r="R495" i="5"/>
  <c r="U494" i="5"/>
  <c r="V494" i="5" s="1"/>
  <c r="T494" i="5"/>
  <c r="S494" i="5"/>
  <c r="R494" i="5"/>
  <c r="U493" i="5"/>
  <c r="T493" i="5"/>
  <c r="S493" i="5"/>
  <c r="R493" i="5"/>
  <c r="U492" i="5"/>
  <c r="T492" i="5"/>
  <c r="S492" i="5"/>
  <c r="R492" i="5"/>
  <c r="U491" i="5"/>
  <c r="T491" i="5"/>
  <c r="S491" i="5"/>
  <c r="R491" i="5"/>
  <c r="U490" i="5"/>
  <c r="T490" i="5"/>
  <c r="S490" i="5"/>
  <c r="R490" i="5"/>
  <c r="U489" i="5"/>
  <c r="T489" i="5"/>
  <c r="S489" i="5"/>
  <c r="R489" i="5"/>
  <c r="U488" i="5"/>
  <c r="V488" i="5" s="1"/>
  <c r="T488" i="5"/>
  <c r="S488" i="5"/>
  <c r="R488" i="5"/>
  <c r="U487" i="5"/>
  <c r="T487" i="5"/>
  <c r="S487" i="5"/>
  <c r="R487" i="5"/>
  <c r="U486" i="5"/>
  <c r="V486" i="5" s="1"/>
  <c r="T486" i="5"/>
  <c r="S486" i="5"/>
  <c r="R486" i="5"/>
  <c r="U485" i="5"/>
  <c r="T485" i="5"/>
  <c r="S485" i="5"/>
  <c r="R485" i="5"/>
  <c r="U484" i="5"/>
  <c r="T484" i="5"/>
  <c r="S484" i="5"/>
  <c r="R484" i="5"/>
  <c r="V484" i="5" s="1"/>
  <c r="U483" i="5"/>
  <c r="T483" i="5"/>
  <c r="S483" i="5"/>
  <c r="R483" i="5"/>
  <c r="U482" i="5"/>
  <c r="T482" i="5"/>
  <c r="S482" i="5"/>
  <c r="R482" i="5"/>
  <c r="U481" i="5"/>
  <c r="T481" i="5"/>
  <c r="S481" i="5"/>
  <c r="R481" i="5"/>
  <c r="U480" i="5"/>
  <c r="V480" i="5" s="1"/>
  <c r="T480" i="5"/>
  <c r="S480" i="5"/>
  <c r="R480" i="5"/>
  <c r="U479" i="5"/>
  <c r="T479" i="5"/>
  <c r="S479" i="5"/>
  <c r="R479" i="5"/>
  <c r="U478" i="5"/>
  <c r="V478" i="5" s="1"/>
  <c r="T478" i="5"/>
  <c r="S478" i="5"/>
  <c r="R478" i="5"/>
  <c r="U477" i="5"/>
  <c r="T477" i="5"/>
  <c r="S477" i="5"/>
  <c r="R477" i="5"/>
  <c r="U476" i="5"/>
  <c r="T476" i="5"/>
  <c r="S476" i="5"/>
  <c r="R476" i="5"/>
  <c r="V476" i="5" s="1"/>
  <c r="U475" i="5"/>
  <c r="T475" i="5"/>
  <c r="S475" i="5"/>
  <c r="R475" i="5"/>
  <c r="U474" i="5"/>
  <c r="T474" i="5"/>
  <c r="S474" i="5"/>
  <c r="R474" i="5"/>
  <c r="U472" i="5"/>
  <c r="T472" i="5"/>
  <c r="S472" i="5"/>
  <c r="R472" i="5"/>
  <c r="U471" i="5"/>
  <c r="V471" i="5" s="1"/>
  <c r="T471" i="5"/>
  <c r="S471" i="5"/>
  <c r="R471" i="5"/>
  <c r="U470" i="5"/>
  <c r="T470" i="5"/>
  <c r="S470" i="5"/>
  <c r="R470" i="5"/>
  <c r="U469" i="5"/>
  <c r="V469" i="5" s="1"/>
  <c r="T469" i="5"/>
  <c r="S469" i="5"/>
  <c r="R469" i="5"/>
  <c r="U468" i="5"/>
  <c r="T468" i="5"/>
  <c r="S468" i="5"/>
  <c r="R468" i="5"/>
  <c r="U467" i="5"/>
  <c r="T467" i="5"/>
  <c r="S467" i="5"/>
  <c r="R467" i="5"/>
  <c r="U466" i="5"/>
  <c r="T466" i="5"/>
  <c r="S466" i="5"/>
  <c r="R466" i="5"/>
  <c r="U465" i="5"/>
  <c r="T465" i="5"/>
  <c r="S465" i="5"/>
  <c r="R465" i="5"/>
  <c r="U461" i="5"/>
  <c r="T461" i="5"/>
  <c r="S461" i="5"/>
  <c r="R461" i="5"/>
  <c r="U460" i="5"/>
  <c r="V460" i="5" s="1"/>
  <c r="T460" i="5"/>
  <c r="S460" i="5"/>
  <c r="R460" i="5"/>
  <c r="U459" i="5"/>
  <c r="T459" i="5"/>
  <c r="S459" i="5"/>
  <c r="R459" i="5"/>
  <c r="U457" i="5"/>
  <c r="V457" i="5" s="1"/>
  <c r="T457" i="5"/>
  <c r="S457" i="5"/>
  <c r="R457" i="5"/>
  <c r="U456" i="5"/>
  <c r="T456" i="5"/>
  <c r="S456" i="5"/>
  <c r="R456" i="5"/>
  <c r="U455" i="5"/>
  <c r="T455" i="5"/>
  <c r="S455" i="5"/>
  <c r="R455" i="5"/>
  <c r="V455" i="5" s="1"/>
  <c r="U453" i="5"/>
  <c r="T453" i="5"/>
  <c r="S453" i="5"/>
  <c r="R453" i="5"/>
  <c r="U452" i="5"/>
  <c r="T452" i="5"/>
  <c r="S452" i="5"/>
  <c r="R452" i="5"/>
  <c r="U450" i="5"/>
  <c r="T450" i="5"/>
  <c r="S450" i="5"/>
  <c r="R450" i="5"/>
  <c r="U449" i="5"/>
  <c r="V449" i="5" s="1"/>
  <c r="T449" i="5"/>
  <c r="S449" i="5"/>
  <c r="R449" i="5"/>
  <c r="U448" i="5"/>
  <c r="T448" i="5"/>
  <c r="S448" i="5"/>
  <c r="R448" i="5"/>
  <c r="U447" i="5"/>
  <c r="V447" i="5" s="1"/>
  <c r="T447" i="5"/>
  <c r="S447" i="5"/>
  <c r="R447" i="5"/>
  <c r="U446" i="5"/>
  <c r="T446" i="5"/>
  <c r="S446" i="5"/>
  <c r="R446" i="5"/>
  <c r="U445" i="5"/>
  <c r="T445" i="5"/>
  <c r="S445" i="5"/>
  <c r="R445" i="5"/>
  <c r="V445" i="5" s="1"/>
  <c r="U444" i="5"/>
  <c r="T444" i="5"/>
  <c r="S444" i="5"/>
  <c r="R444" i="5"/>
  <c r="U443" i="5"/>
  <c r="T443" i="5"/>
  <c r="S443" i="5"/>
  <c r="R443" i="5"/>
  <c r="U442" i="5"/>
  <c r="T442" i="5"/>
  <c r="S442" i="5"/>
  <c r="R442" i="5"/>
  <c r="U441" i="5"/>
  <c r="V441" i="5" s="1"/>
  <c r="T441" i="5"/>
  <c r="S441" i="5"/>
  <c r="R441" i="5"/>
  <c r="U440" i="5"/>
  <c r="T440" i="5"/>
  <c r="S440" i="5"/>
  <c r="R440" i="5"/>
  <c r="U439" i="5"/>
  <c r="V439" i="5" s="1"/>
  <c r="T439" i="5"/>
  <c r="S439" i="5"/>
  <c r="R439" i="5"/>
  <c r="U437" i="5"/>
  <c r="T437" i="5"/>
  <c r="S437" i="5"/>
  <c r="R437" i="5"/>
  <c r="U436" i="5"/>
  <c r="T436" i="5"/>
  <c r="S436" i="5"/>
  <c r="R436" i="5"/>
  <c r="V436" i="5" s="1"/>
  <c r="U435" i="5"/>
  <c r="V435" i="5" s="1"/>
  <c r="T435" i="5"/>
  <c r="S435" i="5"/>
  <c r="R435" i="5"/>
  <c r="U433" i="5"/>
  <c r="T433" i="5"/>
  <c r="S433" i="5"/>
  <c r="R433" i="5"/>
  <c r="U431" i="5"/>
  <c r="T431" i="5"/>
  <c r="S431" i="5"/>
  <c r="R431" i="5"/>
  <c r="U430" i="5"/>
  <c r="T430" i="5"/>
  <c r="S430" i="5"/>
  <c r="R430" i="5"/>
  <c r="U428" i="5"/>
  <c r="T428" i="5"/>
  <c r="S428" i="5"/>
  <c r="R428" i="5"/>
  <c r="U427" i="5"/>
  <c r="V427" i="5" s="1"/>
  <c r="T427" i="5"/>
  <c r="S427" i="5"/>
  <c r="R427" i="5"/>
  <c r="U425" i="5"/>
  <c r="T425" i="5"/>
  <c r="S425" i="5"/>
  <c r="R425" i="5"/>
  <c r="U424" i="5"/>
  <c r="T424" i="5"/>
  <c r="S424" i="5"/>
  <c r="R424" i="5"/>
  <c r="V424" i="5" s="1"/>
  <c r="U423" i="5"/>
  <c r="V423" i="5" s="1"/>
  <c r="T423" i="5"/>
  <c r="S423" i="5"/>
  <c r="R423" i="5"/>
  <c r="U422" i="5"/>
  <c r="T422" i="5"/>
  <c r="S422" i="5"/>
  <c r="R422" i="5"/>
  <c r="U419" i="5"/>
  <c r="T419" i="5"/>
  <c r="S419" i="5"/>
  <c r="R419" i="5"/>
  <c r="U418" i="5"/>
  <c r="T418" i="5"/>
  <c r="S418" i="5"/>
  <c r="R418" i="5"/>
  <c r="U417" i="5"/>
  <c r="T417" i="5"/>
  <c r="S417" i="5"/>
  <c r="R417" i="5"/>
  <c r="U416" i="5"/>
  <c r="V416" i="5" s="1"/>
  <c r="T416" i="5"/>
  <c r="S416" i="5"/>
  <c r="R416" i="5"/>
  <c r="U415" i="5"/>
  <c r="T415" i="5"/>
  <c r="S415" i="5"/>
  <c r="R415" i="5"/>
  <c r="U414" i="5"/>
  <c r="T414" i="5"/>
  <c r="S414" i="5"/>
  <c r="R414" i="5"/>
  <c r="V414" i="5" s="1"/>
  <c r="U411" i="5"/>
  <c r="V411" i="5" s="1"/>
  <c r="T411" i="5"/>
  <c r="S411" i="5"/>
  <c r="R411" i="5"/>
  <c r="U410" i="5"/>
  <c r="T410" i="5"/>
  <c r="S410" i="5"/>
  <c r="R410" i="5"/>
  <c r="U409" i="5"/>
  <c r="T409" i="5"/>
  <c r="S409" i="5"/>
  <c r="R409" i="5"/>
  <c r="U407" i="5"/>
  <c r="T407" i="5"/>
  <c r="S407" i="5"/>
  <c r="R407" i="5"/>
  <c r="U406" i="5"/>
  <c r="T406" i="5"/>
  <c r="S406" i="5"/>
  <c r="R406" i="5"/>
  <c r="U403" i="5"/>
  <c r="V403" i="5" s="1"/>
  <c r="T403" i="5"/>
  <c r="S403" i="5"/>
  <c r="R403" i="5"/>
  <c r="U402" i="5"/>
  <c r="T402" i="5"/>
  <c r="S402" i="5"/>
  <c r="R402" i="5"/>
  <c r="U401" i="5"/>
  <c r="T401" i="5"/>
  <c r="S401" i="5"/>
  <c r="R401" i="5"/>
  <c r="V401" i="5" s="1"/>
  <c r="U400" i="5"/>
  <c r="V400" i="5" s="1"/>
  <c r="T400" i="5"/>
  <c r="S400" i="5"/>
  <c r="R400" i="5"/>
  <c r="U399" i="5"/>
  <c r="T399" i="5"/>
  <c r="S399" i="5"/>
  <c r="R399" i="5"/>
  <c r="U397" i="5"/>
  <c r="T397" i="5"/>
  <c r="S397" i="5"/>
  <c r="R397" i="5"/>
  <c r="U395" i="5"/>
  <c r="T395" i="5"/>
  <c r="S395" i="5"/>
  <c r="R395" i="5"/>
  <c r="U393" i="5"/>
  <c r="T393" i="5"/>
  <c r="S393" i="5"/>
  <c r="R393" i="5"/>
  <c r="U392" i="5"/>
  <c r="V392" i="5" s="1"/>
  <c r="T392" i="5"/>
  <c r="S392" i="5"/>
  <c r="R392" i="5"/>
  <c r="U391" i="5"/>
  <c r="T391" i="5"/>
  <c r="S391" i="5"/>
  <c r="R391" i="5"/>
  <c r="U389" i="5"/>
  <c r="T389" i="5"/>
  <c r="S389" i="5"/>
  <c r="R389" i="5"/>
  <c r="U388" i="5"/>
  <c r="V388" i="5" s="1"/>
  <c r="T388" i="5"/>
  <c r="S388" i="5"/>
  <c r="R388" i="5"/>
  <c r="U387" i="5"/>
  <c r="T387" i="5"/>
  <c r="S387" i="5"/>
  <c r="R387" i="5"/>
  <c r="U386" i="5"/>
  <c r="T386" i="5"/>
  <c r="S386" i="5"/>
  <c r="R386" i="5"/>
  <c r="U384" i="5"/>
  <c r="T384" i="5"/>
  <c r="S384" i="5"/>
  <c r="R384" i="5"/>
  <c r="U383" i="5"/>
  <c r="T383" i="5"/>
  <c r="S383" i="5"/>
  <c r="R383" i="5"/>
  <c r="U382" i="5"/>
  <c r="V382" i="5" s="1"/>
  <c r="T382" i="5"/>
  <c r="S382" i="5"/>
  <c r="R382" i="5"/>
  <c r="U381" i="5"/>
  <c r="T381" i="5"/>
  <c r="S381" i="5"/>
  <c r="R381" i="5"/>
  <c r="U380" i="5"/>
  <c r="T380" i="5"/>
  <c r="S380" i="5"/>
  <c r="R380" i="5"/>
  <c r="V380" i="5" s="1"/>
  <c r="U378" i="5"/>
  <c r="V378" i="5" s="1"/>
  <c r="T378" i="5"/>
  <c r="S378" i="5"/>
  <c r="R378" i="5"/>
  <c r="U377" i="5"/>
  <c r="T377" i="5"/>
  <c r="S377" i="5"/>
  <c r="R377" i="5"/>
  <c r="U372" i="5"/>
  <c r="T372" i="5"/>
  <c r="S372" i="5"/>
  <c r="R372" i="5"/>
  <c r="U370" i="5"/>
  <c r="T370" i="5"/>
  <c r="S370" i="5"/>
  <c r="R370" i="5"/>
  <c r="U369" i="5"/>
  <c r="T369" i="5"/>
  <c r="S369" i="5"/>
  <c r="R369" i="5"/>
  <c r="U368" i="5"/>
  <c r="T368" i="5"/>
  <c r="S368" i="5"/>
  <c r="V368" i="5" s="1"/>
  <c r="R368" i="5"/>
  <c r="U367" i="5"/>
  <c r="T367" i="5"/>
  <c r="S367" i="5"/>
  <c r="R367" i="5"/>
  <c r="U366" i="5"/>
  <c r="T366" i="5"/>
  <c r="S366" i="5"/>
  <c r="R366" i="5"/>
  <c r="U365" i="5"/>
  <c r="V365" i="5" s="1"/>
  <c r="T365" i="5"/>
  <c r="S365" i="5"/>
  <c r="R365" i="5"/>
  <c r="U364" i="5"/>
  <c r="T364" i="5"/>
  <c r="S364" i="5"/>
  <c r="R364" i="5"/>
  <c r="U363" i="5"/>
  <c r="T363" i="5"/>
  <c r="S363" i="5"/>
  <c r="R363" i="5"/>
  <c r="U362" i="5"/>
  <c r="T362" i="5"/>
  <c r="S362" i="5"/>
  <c r="R362" i="5"/>
  <c r="U360" i="5"/>
  <c r="T360" i="5"/>
  <c r="S360" i="5"/>
  <c r="R360" i="5"/>
  <c r="U359" i="5"/>
  <c r="V359" i="5" s="1"/>
  <c r="T359" i="5"/>
  <c r="S359" i="5"/>
  <c r="R359" i="5"/>
  <c r="U358" i="5"/>
  <c r="T358" i="5"/>
  <c r="S358" i="5"/>
  <c r="R358" i="5"/>
  <c r="U357" i="5"/>
  <c r="T357" i="5"/>
  <c r="S357" i="5"/>
  <c r="R357" i="5"/>
  <c r="V357" i="5" s="1"/>
  <c r="U356" i="5"/>
  <c r="V356" i="5" s="1"/>
  <c r="T356" i="5"/>
  <c r="S356" i="5"/>
  <c r="R356" i="5"/>
  <c r="U355" i="5"/>
  <c r="T355" i="5"/>
  <c r="S355" i="5"/>
  <c r="R355" i="5"/>
  <c r="U354" i="5"/>
  <c r="T354" i="5"/>
  <c r="S354" i="5"/>
  <c r="R354" i="5"/>
  <c r="U353" i="5"/>
  <c r="T353" i="5"/>
  <c r="S353" i="5"/>
  <c r="R353" i="5"/>
  <c r="U352" i="5"/>
  <c r="T352" i="5"/>
  <c r="S352" i="5"/>
  <c r="R352" i="5"/>
  <c r="U351" i="5"/>
  <c r="V351" i="5" s="1"/>
  <c r="T351" i="5"/>
  <c r="S351" i="5"/>
  <c r="R351" i="5"/>
  <c r="U350" i="5"/>
  <c r="T350" i="5"/>
  <c r="S350" i="5"/>
  <c r="R350" i="5"/>
  <c r="U349" i="5"/>
  <c r="T349" i="5"/>
  <c r="S349" i="5"/>
  <c r="R349" i="5"/>
  <c r="U348" i="5"/>
  <c r="V348" i="5" s="1"/>
  <c r="T348" i="5"/>
  <c r="S348" i="5"/>
  <c r="R348" i="5"/>
  <c r="U347" i="5"/>
  <c r="T347" i="5"/>
  <c r="S347" i="5"/>
  <c r="R347" i="5"/>
  <c r="U346" i="5"/>
  <c r="T346" i="5"/>
  <c r="S346" i="5"/>
  <c r="R346" i="5"/>
  <c r="U345" i="5"/>
  <c r="T345" i="5"/>
  <c r="S345" i="5"/>
  <c r="R345" i="5"/>
  <c r="U344" i="5"/>
  <c r="T344" i="5"/>
  <c r="S344" i="5"/>
  <c r="R344" i="5"/>
  <c r="U343" i="5"/>
  <c r="V343" i="5" s="1"/>
  <c r="T343" i="5"/>
  <c r="S343" i="5"/>
  <c r="R343" i="5"/>
  <c r="U342" i="5"/>
  <c r="T342" i="5"/>
  <c r="S342" i="5"/>
  <c r="R342" i="5"/>
  <c r="U341" i="5"/>
  <c r="T341" i="5"/>
  <c r="S341" i="5"/>
  <c r="R341" i="5"/>
  <c r="V341" i="5" s="1"/>
  <c r="U340" i="5"/>
  <c r="V340" i="5" s="1"/>
  <c r="T340" i="5"/>
  <c r="S340" i="5"/>
  <c r="R340" i="5"/>
  <c r="U339" i="5"/>
  <c r="T339" i="5"/>
  <c r="S339" i="5"/>
  <c r="R339" i="5"/>
  <c r="U338" i="5"/>
  <c r="T338" i="5"/>
  <c r="S338" i="5"/>
  <c r="R338" i="5"/>
  <c r="U337" i="5"/>
  <c r="T337" i="5"/>
  <c r="S337" i="5"/>
  <c r="R337" i="5"/>
  <c r="U336" i="5"/>
  <c r="T336" i="5"/>
  <c r="S336" i="5"/>
  <c r="R336" i="5"/>
  <c r="U334" i="5"/>
  <c r="V334" i="5" s="1"/>
  <c r="T334" i="5"/>
  <c r="S334" i="5"/>
  <c r="R334" i="5"/>
  <c r="U333" i="5"/>
  <c r="T333" i="5"/>
  <c r="S333" i="5"/>
  <c r="R333" i="5"/>
  <c r="U332" i="5"/>
  <c r="V332" i="5" s="1"/>
  <c r="T332" i="5"/>
  <c r="S332" i="5"/>
  <c r="R332" i="5"/>
  <c r="U331" i="5"/>
  <c r="V331" i="5" s="1"/>
  <c r="T331" i="5"/>
  <c r="S331" i="5"/>
  <c r="R331" i="5"/>
  <c r="U330" i="5"/>
  <c r="T330" i="5"/>
  <c r="S330" i="5"/>
  <c r="R330" i="5"/>
  <c r="U329" i="5"/>
  <c r="T329" i="5"/>
  <c r="S329" i="5"/>
  <c r="R329" i="5"/>
  <c r="U328" i="5"/>
  <c r="T328" i="5"/>
  <c r="S328" i="5"/>
  <c r="R328" i="5"/>
  <c r="U327" i="5"/>
  <c r="T327" i="5"/>
  <c r="S327" i="5"/>
  <c r="R327" i="5"/>
  <c r="U326" i="5"/>
  <c r="V326" i="5" s="1"/>
  <c r="T326" i="5"/>
  <c r="S326" i="5"/>
  <c r="R326" i="5"/>
  <c r="U325" i="5"/>
  <c r="T325" i="5"/>
  <c r="S325" i="5"/>
  <c r="R325" i="5"/>
  <c r="U324" i="5"/>
  <c r="V324" i="5" s="1"/>
  <c r="T324" i="5"/>
  <c r="S324" i="5"/>
  <c r="R324" i="5"/>
  <c r="U323" i="5"/>
  <c r="V323" i="5" s="1"/>
  <c r="T323" i="5"/>
  <c r="S323" i="5"/>
  <c r="R323" i="5"/>
  <c r="U322" i="5"/>
  <c r="T322" i="5"/>
  <c r="S322" i="5"/>
  <c r="R322" i="5"/>
  <c r="U321" i="5"/>
  <c r="T321" i="5"/>
  <c r="S321" i="5"/>
  <c r="R321" i="5"/>
  <c r="U320" i="5"/>
  <c r="T320" i="5"/>
  <c r="S320" i="5"/>
  <c r="R320" i="5"/>
  <c r="U319" i="5"/>
  <c r="T319" i="5"/>
  <c r="S319" i="5"/>
  <c r="R319" i="5"/>
  <c r="U317" i="5"/>
  <c r="V317" i="5" s="1"/>
  <c r="T317" i="5"/>
  <c r="S317" i="5"/>
  <c r="R317" i="5"/>
  <c r="U316" i="5"/>
  <c r="T316" i="5"/>
  <c r="S316" i="5"/>
  <c r="R316" i="5"/>
  <c r="U315" i="5"/>
  <c r="V315" i="5" s="1"/>
  <c r="T315" i="5"/>
  <c r="S315" i="5"/>
  <c r="R315" i="5"/>
  <c r="U314" i="5"/>
  <c r="T314" i="5"/>
  <c r="S314" i="5"/>
  <c r="R314" i="5"/>
  <c r="U313" i="5"/>
  <c r="T313" i="5"/>
  <c r="S313" i="5"/>
  <c r="R313" i="5"/>
  <c r="U312" i="5"/>
  <c r="T312" i="5"/>
  <c r="S312" i="5"/>
  <c r="R312" i="5"/>
  <c r="U310" i="5"/>
  <c r="T310" i="5"/>
  <c r="S310" i="5"/>
  <c r="R310" i="5"/>
  <c r="U309" i="5"/>
  <c r="T309" i="5"/>
  <c r="S309" i="5"/>
  <c r="R309" i="5"/>
  <c r="U308" i="5"/>
  <c r="T308" i="5"/>
  <c r="S308" i="5"/>
  <c r="R308" i="5"/>
  <c r="U307" i="5"/>
  <c r="T307" i="5"/>
  <c r="S307" i="5"/>
  <c r="R307" i="5"/>
  <c r="U306" i="5"/>
  <c r="V306" i="5" s="1"/>
  <c r="T306" i="5"/>
  <c r="S306" i="5"/>
  <c r="R306" i="5"/>
  <c r="U305" i="5"/>
  <c r="T305" i="5"/>
  <c r="S305" i="5"/>
  <c r="R305" i="5"/>
  <c r="U304" i="5"/>
  <c r="T304" i="5"/>
  <c r="S304" i="5"/>
  <c r="R304" i="5"/>
  <c r="U303" i="5"/>
  <c r="T303" i="5"/>
  <c r="S303" i="5"/>
  <c r="R303" i="5"/>
  <c r="U302" i="5"/>
  <c r="T302" i="5"/>
  <c r="S302" i="5"/>
  <c r="R302" i="5"/>
  <c r="U301" i="5"/>
  <c r="T301" i="5"/>
  <c r="S301" i="5"/>
  <c r="R301" i="5"/>
  <c r="U300" i="5"/>
  <c r="T300" i="5"/>
  <c r="S300" i="5"/>
  <c r="R300" i="5"/>
  <c r="U299" i="5"/>
  <c r="T299" i="5"/>
  <c r="S299" i="5"/>
  <c r="R299" i="5"/>
  <c r="U297" i="5"/>
  <c r="V297" i="5" s="1"/>
  <c r="T297" i="5"/>
  <c r="S297" i="5"/>
  <c r="R297" i="5"/>
  <c r="U296" i="5"/>
  <c r="T296" i="5"/>
  <c r="S296" i="5"/>
  <c r="R296" i="5"/>
  <c r="U295" i="5"/>
  <c r="T295" i="5"/>
  <c r="S295" i="5"/>
  <c r="R295" i="5"/>
  <c r="U294" i="5"/>
  <c r="T294" i="5"/>
  <c r="S294" i="5"/>
  <c r="R294" i="5"/>
  <c r="U293" i="5"/>
  <c r="T293" i="5"/>
  <c r="S293" i="5"/>
  <c r="R293" i="5"/>
  <c r="U291" i="5"/>
  <c r="T291" i="5"/>
  <c r="S291" i="5"/>
  <c r="R291" i="5"/>
  <c r="U290" i="5"/>
  <c r="T290" i="5"/>
  <c r="S290" i="5"/>
  <c r="R290" i="5"/>
  <c r="U289" i="5"/>
  <c r="T289" i="5"/>
  <c r="S289" i="5"/>
  <c r="R289" i="5"/>
  <c r="U288" i="5"/>
  <c r="V288" i="5" s="1"/>
  <c r="T288" i="5"/>
  <c r="S288" i="5"/>
  <c r="R288" i="5"/>
  <c r="U287" i="5"/>
  <c r="T287" i="5"/>
  <c r="S287" i="5"/>
  <c r="R287" i="5"/>
  <c r="U285" i="5"/>
  <c r="T285" i="5"/>
  <c r="S285" i="5"/>
  <c r="R285" i="5"/>
  <c r="U284" i="5"/>
  <c r="T284" i="5"/>
  <c r="S284" i="5"/>
  <c r="R284" i="5"/>
  <c r="U283" i="5"/>
  <c r="T283" i="5"/>
  <c r="S283" i="5"/>
  <c r="R283" i="5"/>
  <c r="U282" i="5"/>
  <c r="T282" i="5"/>
  <c r="S282" i="5"/>
  <c r="R282" i="5"/>
  <c r="U281" i="5"/>
  <c r="T281" i="5"/>
  <c r="S281" i="5"/>
  <c r="R281" i="5"/>
  <c r="U280" i="5"/>
  <c r="T280" i="5"/>
  <c r="S280" i="5"/>
  <c r="R280" i="5"/>
  <c r="U279" i="5"/>
  <c r="V279" i="5" s="1"/>
  <c r="T279" i="5"/>
  <c r="S279" i="5"/>
  <c r="R279" i="5"/>
  <c r="U278" i="5"/>
  <c r="V278" i="5" s="1"/>
  <c r="T278" i="5"/>
  <c r="S278" i="5"/>
  <c r="R278" i="5"/>
  <c r="U277" i="5"/>
  <c r="T277" i="5"/>
  <c r="S277" i="5"/>
  <c r="R277" i="5"/>
  <c r="U276" i="5"/>
  <c r="T276" i="5"/>
  <c r="S276" i="5"/>
  <c r="R276" i="5"/>
  <c r="U275" i="5"/>
  <c r="T275" i="5"/>
  <c r="S275" i="5"/>
  <c r="R275" i="5"/>
  <c r="U274" i="5"/>
  <c r="T274" i="5"/>
  <c r="S274" i="5"/>
  <c r="R274" i="5"/>
  <c r="U273" i="5"/>
  <c r="T273" i="5"/>
  <c r="S273" i="5"/>
  <c r="R273" i="5"/>
  <c r="U267" i="5"/>
  <c r="T267" i="5"/>
  <c r="S267" i="5"/>
  <c r="R267" i="5"/>
  <c r="U266" i="5"/>
  <c r="V266" i="5" s="1"/>
  <c r="T266" i="5"/>
  <c r="S266" i="5"/>
  <c r="R266" i="5"/>
  <c r="U265" i="5"/>
  <c r="T265" i="5"/>
  <c r="S265" i="5"/>
  <c r="R265" i="5"/>
  <c r="U264" i="5"/>
  <c r="T264" i="5"/>
  <c r="S264" i="5"/>
  <c r="R264" i="5"/>
  <c r="U263" i="5"/>
  <c r="T263" i="5"/>
  <c r="S263" i="5"/>
  <c r="R263" i="5"/>
  <c r="U262" i="5"/>
  <c r="T262" i="5"/>
  <c r="S262" i="5"/>
  <c r="R262" i="5"/>
  <c r="U261" i="5"/>
  <c r="T261" i="5"/>
  <c r="S261" i="5"/>
  <c r="R261" i="5"/>
  <c r="U260" i="5"/>
  <c r="T260" i="5"/>
  <c r="S260" i="5"/>
  <c r="R260" i="5"/>
  <c r="U259" i="5"/>
  <c r="T259" i="5"/>
  <c r="S259" i="5"/>
  <c r="R259" i="5"/>
  <c r="U258" i="5"/>
  <c r="V258" i="5" s="1"/>
  <c r="T258" i="5"/>
  <c r="S258" i="5"/>
  <c r="R258" i="5"/>
  <c r="U257" i="5"/>
  <c r="T257" i="5"/>
  <c r="S257" i="5"/>
  <c r="R257" i="5"/>
  <c r="U256" i="5"/>
  <c r="T256" i="5"/>
  <c r="S256" i="5"/>
  <c r="R256" i="5"/>
  <c r="U255" i="5"/>
  <c r="T255" i="5"/>
  <c r="S255" i="5"/>
  <c r="R255" i="5"/>
  <c r="U254" i="5"/>
  <c r="T254" i="5"/>
  <c r="S254" i="5"/>
  <c r="R254" i="5"/>
  <c r="U253" i="5"/>
  <c r="T253" i="5"/>
  <c r="S253" i="5"/>
  <c r="R253" i="5"/>
  <c r="U252" i="5"/>
  <c r="T252" i="5"/>
  <c r="S252" i="5"/>
  <c r="R252" i="5"/>
  <c r="U251" i="5"/>
  <c r="T251" i="5"/>
  <c r="S251" i="5"/>
  <c r="R251" i="5"/>
  <c r="U250" i="5"/>
  <c r="V250" i="5" s="1"/>
  <c r="T250" i="5"/>
  <c r="S250" i="5"/>
  <c r="R250" i="5"/>
  <c r="U249" i="5"/>
  <c r="T249" i="5"/>
  <c r="S249" i="5"/>
  <c r="R249" i="5"/>
  <c r="U248" i="5"/>
  <c r="T248" i="5"/>
  <c r="S248" i="5"/>
  <c r="R248" i="5"/>
  <c r="U247" i="5"/>
  <c r="T247" i="5"/>
  <c r="S247" i="5"/>
  <c r="R247" i="5"/>
  <c r="U246" i="5"/>
  <c r="T246" i="5"/>
  <c r="S246" i="5"/>
  <c r="R246" i="5"/>
  <c r="U245" i="5"/>
  <c r="T245" i="5"/>
  <c r="S245" i="5"/>
  <c r="R245" i="5"/>
  <c r="U244" i="5"/>
  <c r="T244" i="5"/>
  <c r="S244" i="5"/>
  <c r="R244" i="5"/>
  <c r="U243" i="5"/>
  <c r="T243" i="5"/>
  <c r="S243" i="5"/>
  <c r="R243" i="5"/>
  <c r="U242" i="5"/>
  <c r="V242" i="5" s="1"/>
  <c r="T242" i="5"/>
  <c r="S242" i="5"/>
  <c r="R242" i="5"/>
  <c r="U240" i="5"/>
  <c r="T240" i="5"/>
  <c r="S240" i="5"/>
  <c r="R240" i="5"/>
  <c r="U239" i="5"/>
  <c r="T239" i="5"/>
  <c r="S239" i="5"/>
  <c r="R239" i="5"/>
  <c r="U238" i="5"/>
  <c r="T238" i="5"/>
  <c r="S238" i="5"/>
  <c r="R238" i="5"/>
  <c r="U237" i="5"/>
  <c r="T237" i="5"/>
  <c r="S237" i="5"/>
  <c r="R237" i="5"/>
  <c r="U236" i="5"/>
  <c r="T236" i="5"/>
  <c r="S236" i="5"/>
  <c r="R236" i="5"/>
  <c r="U235" i="5"/>
  <c r="T235" i="5"/>
  <c r="S235" i="5"/>
  <c r="R235" i="5"/>
  <c r="U234" i="5"/>
  <c r="T234" i="5"/>
  <c r="S234" i="5"/>
  <c r="R234" i="5"/>
  <c r="U233" i="5"/>
  <c r="V233" i="5" s="1"/>
  <c r="T233" i="5"/>
  <c r="S233" i="5"/>
  <c r="R233" i="5"/>
  <c r="U229" i="5"/>
  <c r="T229" i="5"/>
  <c r="S229" i="5"/>
  <c r="R229" i="5"/>
  <c r="U228" i="5"/>
  <c r="T228" i="5"/>
  <c r="S228" i="5"/>
  <c r="R228" i="5"/>
  <c r="U227" i="5"/>
  <c r="T227" i="5"/>
  <c r="S227" i="5"/>
  <c r="R227" i="5"/>
  <c r="U226" i="5"/>
  <c r="T226" i="5"/>
  <c r="S226" i="5"/>
  <c r="R226" i="5"/>
  <c r="U225" i="5"/>
  <c r="T225" i="5"/>
  <c r="S225" i="5"/>
  <c r="R225" i="5"/>
  <c r="U222" i="5"/>
  <c r="T222" i="5"/>
  <c r="S222" i="5"/>
  <c r="R222" i="5"/>
  <c r="U221" i="5"/>
  <c r="T221" i="5"/>
  <c r="S221" i="5"/>
  <c r="R221" i="5"/>
  <c r="U220" i="5"/>
  <c r="V220" i="5" s="1"/>
  <c r="T220" i="5"/>
  <c r="S220" i="5"/>
  <c r="R220" i="5"/>
  <c r="U219" i="5"/>
  <c r="T219" i="5"/>
  <c r="S219" i="5"/>
  <c r="R219" i="5"/>
  <c r="U218" i="5"/>
  <c r="T218" i="5"/>
  <c r="S218" i="5"/>
  <c r="R218" i="5"/>
  <c r="U217" i="5"/>
  <c r="T217" i="5"/>
  <c r="S217" i="5"/>
  <c r="R217" i="5"/>
  <c r="U216" i="5"/>
  <c r="T216" i="5"/>
  <c r="S216" i="5"/>
  <c r="R216" i="5"/>
  <c r="U215" i="5"/>
  <c r="T215" i="5"/>
  <c r="S215" i="5"/>
  <c r="R215" i="5"/>
  <c r="U214" i="5"/>
  <c r="T214" i="5"/>
  <c r="V214" i="5" s="1"/>
  <c r="S214" i="5"/>
  <c r="R214" i="5"/>
  <c r="U213" i="5"/>
  <c r="T213" i="5"/>
  <c r="S213" i="5"/>
  <c r="R213" i="5"/>
  <c r="U212" i="5"/>
  <c r="V212" i="5" s="1"/>
  <c r="T212" i="5"/>
  <c r="S212" i="5"/>
  <c r="R212" i="5"/>
  <c r="U211" i="5"/>
  <c r="T211" i="5"/>
  <c r="S211" i="5"/>
  <c r="R211" i="5"/>
  <c r="U210" i="5"/>
  <c r="T210" i="5"/>
  <c r="S210" i="5"/>
  <c r="R210" i="5"/>
  <c r="U209" i="5"/>
  <c r="T209" i="5"/>
  <c r="S209" i="5"/>
  <c r="R209" i="5"/>
  <c r="U208" i="5"/>
  <c r="T208" i="5"/>
  <c r="S208" i="5"/>
  <c r="R208" i="5"/>
  <c r="U207" i="5"/>
  <c r="T207" i="5"/>
  <c r="S207" i="5"/>
  <c r="R207" i="5"/>
  <c r="U205" i="5"/>
  <c r="V205" i="5" s="1"/>
  <c r="T205" i="5"/>
  <c r="S205" i="5"/>
  <c r="R205" i="5"/>
  <c r="U204" i="5"/>
  <c r="T204" i="5"/>
  <c r="S204" i="5"/>
  <c r="R204" i="5"/>
  <c r="U203" i="5"/>
  <c r="V203" i="5" s="1"/>
  <c r="T203" i="5"/>
  <c r="S203" i="5"/>
  <c r="R203" i="5"/>
  <c r="U201" i="5"/>
  <c r="T201" i="5"/>
  <c r="S201" i="5"/>
  <c r="R201" i="5"/>
  <c r="U200" i="5"/>
  <c r="T200" i="5"/>
  <c r="S200" i="5"/>
  <c r="R200" i="5"/>
  <c r="U199" i="5"/>
  <c r="T199" i="5"/>
  <c r="S199" i="5"/>
  <c r="R199" i="5"/>
  <c r="U197" i="5"/>
  <c r="T197" i="5"/>
  <c r="S197" i="5"/>
  <c r="R197" i="5"/>
  <c r="U196" i="5"/>
  <c r="T196" i="5"/>
  <c r="S196" i="5"/>
  <c r="R196" i="5"/>
  <c r="U195" i="5"/>
  <c r="V195" i="5" s="1"/>
  <c r="T195" i="5"/>
  <c r="S195" i="5"/>
  <c r="R195" i="5"/>
  <c r="U194" i="5"/>
  <c r="T194" i="5"/>
  <c r="S194" i="5"/>
  <c r="R194" i="5"/>
  <c r="U193" i="5"/>
  <c r="V193" i="5" s="1"/>
  <c r="T193" i="5"/>
  <c r="S193" i="5"/>
  <c r="R193" i="5"/>
  <c r="U192" i="5"/>
  <c r="T192" i="5"/>
  <c r="S192" i="5"/>
  <c r="R192" i="5"/>
  <c r="U191" i="5"/>
  <c r="T191" i="5"/>
  <c r="S191" i="5"/>
  <c r="R191" i="5"/>
  <c r="U190" i="5"/>
  <c r="T190" i="5"/>
  <c r="S190" i="5"/>
  <c r="R190" i="5"/>
  <c r="U189" i="5"/>
  <c r="T189" i="5"/>
  <c r="S189" i="5"/>
  <c r="R189" i="5"/>
  <c r="U188" i="5"/>
  <c r="T188" i="5"/>
  <c r="S188" i="5"/>
  <c r="R188" i="5"/>
  <c r="U186" i="5"/>
  <c r="V186" i="5" s="1"/>
  <c r="T186" i="5"/>
  <c r="S186" i="5"/>
  <c r="R186" i="5"/>
  <c r="U184" i="5"/>
  <c r="T184" i="5"/>
  <c r="S184" i="5"/>
  <c r="R184" i="5"/>
  <c r="U183" i="5"/>
  <c r="V183" i="5" s="1"/>
  <c r="T183" i="5"/>
  <c r="S183" i="5"/>
  <c r="R183" i="5"/>
  <c r="U182" i="5"/>
  <c r="T182" i="5"/>
  <c r="S182" i="5"/>
  <c r="R182" i="5"/>
  <c r="U181" i="5"/>
  <c r="T181" i="5"/>
  <c r="S181" i="5"/>
  <c r="R181" i="5"/>
  <c r="U180" i="5"/>
  <c r="T180" i="5"/>
  <c r="S180" i="5"/>
  <c r="R180" i="5"/>
  <c r="U178" i="5"/>
  <c r="T178" i="5"/>
  <c r="S178" i="5"/>
  <c r="R178" i="5"/>
  <c r="U177" i="5"/>
  <c r="T177" i="5"/>
  <c r="S177" i="5"/>
  <c r="R177" i="5"/>
  <c r="U176" i="5"/>
  <c r="V176" i="5" s="1"/>
  <c r="T176" i="5"/>
  <c r="S176" i="5"/>
  <c r="R176" i="5"/>
  <c r="U175" i="5"/>
  <c r="T175" i="5"/>
  <c r="S175" i="5"/>
  <c r="R175" i="5"/>
  <c r="U174" i="5"/>
  <c r="V174" i="5" s="1"/>
  <c r="T174" i="5"/>
  <c r="S174" i="5"/>
  <c r="R174" i="5"/>
  <c r="U173" i="5"/>
  <c r="T173" i="5"/>
  <c r="S173" i="5"/>
  <c r="R173" i="5"/>
  <c r="U172" i="5"/>
  <c r="T172" i="5"/>
  <c r="S172" i="5"/>
  <c r="R172" i="5"/>
  <c r="U171" i="5"/>
  <c r="T171" i="5"/>
  <c r="S171" i="5"/>
  <c r="R171" i="5"/>
  <c r="U170" i="5"/>
  <c r="T170" i="5"/>
  <c r="S170" i="5"/>
  <c r="R170" i="5"/>
  <c r="U169" i="5"/>
  <c r="T169" i="5"/>
  <c r="S169" i="5"/>
  <c r="R169" i="5"/>
  <c r="U168" i="5"/>
  <c r="V168" i="5" s="1"/>
  <c r="T168" i="5"/>
  <c r="S168" i="5"/>
  <c r="R168" i="5"/>
  <c r="U165" i="5"/>
  <c r="T165" i="5"/>
  <c r="S165" i="5"/>
  <c r="R165" i="5"/>
  <c r="U164" i="5"/>
  <c r="T164" i="5"/>
  <c r="S164" i="5"/>
  <c r="R164" i="5"/>
  <c r="U162" i="5"/>
  <c r="T162" i="5"/>
  <c r="S162" i="5"/>
  <c r="R162" i="5"/>
  <c r="U161" i="5"/>
  <c r="T161" i="5"/>
  <c r="S161" i="5"/>
  <c r="R161" i="5"/>
  <c r="U159" i="5"/>
  <c r="T159" i="5"/>
  <c r="S159" i="5"/>
  <c r="R159" i="5"/>
  <c r="U158" i="5"/>
  <c r="T158" i="5"/>
  <c r="S158" i="5"/>
  <c r="R158" i="5"/>
  <c r="U157" i="5"/>
  <c r="T157" i="5"/>
  <c r="S157" i="5"/>
  <c r="R157" i="5"/>
  <c r="U156" i="5"/>
  <c r="V156" i="5" s="1"/>
  <c r="T156" i="5"/>
  <c r="S156" i="5"/>
  <c r="R156" i="5"/>
  <c r="U155" i="5"/>
  <c r="T155" i="5"/>
  <c r="S155" i="5"/>
  <c r="R155" i="5"/>
  <c r="U154" i="5"/>
  <c r="T154" i="5"/>
  <c r="S154" i="5"/>
  <c r="R154" i="5"/>
  <c r="U153" i="5"/>
  <c r="T153" i="5"/>
  <c r="S153" i="5"/>
  <c r="R153" i="5"/>
  <c r="U152" i="5"/>
  <c r="T152" i="5"/>
  <c r="S152" i="5"/>
  <c r="R152" i="5"/>
  <c r="U151" i="5"/>
  <c r="T151" i="5"/>
  <c r="S151" i="5"/>
  <c r="R151" i="5"/>
  <c r="U150" i="5"/>
  <c r="T150" i="5"/>
  <c r="S150" i="5"/>
  <c r="R150" i="5"/>
  <c r="U149" i="5"/>
  <c r="T149" i="5"/>
  <c r="S149" i="5"/>
  <c r="R149" i="5"/>
  <c r="U148" i="5"/>
  <c r="V148" i="5" s="1"/>
  <c r="T148" i="5"/>
  <c r="S148" i="5"/>
  <c r="R148" i="5"/>
  <c r="U147" i="5"/>
  <c r="T147" i="5"/>
  <c r="S147" i="5"/>
  <c r="R147" i="5"/>
  <c r="U146" i="5"/>
  <c r="T146" i="5"/>
  <c r="S146" i="5"/>
  <c r="R146" i="5"/>
  <c r="U511" i="5"/>
  <c r="T511" i="5"/>
  <c r="S511" i="5"/>
  <c r="R511" i="5"/>
  <c r="U510" i="5"/>
  <c r="T510" i="5"/>
  <c r="S510" i="5"/>
  <c r="R510" i="5"/>
  <c r="U509" i="5"/>
  <c r="T509" i="5"/>
  <c r="S509" i="5"/>
  <c r="R509" i="5"/>
  <c r="U508" i="5"/>
  <c r="T508" i="5"/>
  <c r="S508" i="5"/>
  <c r="R508" i="5"/>
  <c r="U507" i="5"/>
  <c r="T507" i="5"/>
  <c r="S507" i="5"/>
  <c r="R507" i="5"/>
  <c r="U506" i="5"/>
  <c r="V506" i="5" s="1"/>
  <c r="T506" i="5"/>
  <c r="S506" i="5"/>
  <c r="R506" i="5"/>
  <c r="U505" i="5"/>
  <c r="T505" i="5"/>
  <c r="S505" i="5"/>
  <c r="R505" i="5"/>
  <c r="U504" i="5"/>
  <c r="T504" i="5"/>
  <c r="S504" i="5"/>
  <c r="R504" i="5"/>
  <c r="U503" i="5"/>
  <c r="T503" i="5"/>
  <c r="S503" i="5"/>
  <c r="R503" i="5"/>
  <c r="U502" i="5"/>
  <c r="T502" i="5"/>
  <c r="S502" i="5"/>
  <c r="R502" i="5"/>
  <c r="U145" i="5"/>
  <c r="T145" i="5"/>
  <c r="S145" i="5"/>
  <c r="R145" i="5"/>
  <c r="U144" i="5"/>
  <c r="T144" i="5"/>
  <c r="S144" i="5"/>
  <c r="R144" i="5"/>
  <c r="U143" i="5"/>
  <c r="T143" i="5"/>
  <c r="S143" i="5"/>
  <c r="R143" i="5"/>
  <c r="U142" i="5"/>
  <c r="V142" i="5" s="1"/>
  <c r="T142" i="5"/>
  <c r="S142" i="5"/>
  <c r="R142" i="5"/>
  <c r="U141" i="5"/>
  <c r="T141" i="5"/>
  <c r="S141" i="5"/>
  <c r="V141" i="5" s="1"/>
  <c r="R141" i="5"/>
  <c r="U140" i="5"/>
  <c r="T140" i="5"/>
  <c r="S140" i="5"/>
  <c r="R140" i="5"/>
  <c r="U139" i="5"/>
  <c r="T139" i="5"/>
  <c r="S139" i="5"/>
  <c r="R139" i="5"/>
  <c r="U138" i="5"/>
  <c r="T138" i="5"/>
  <c r="S138" i="5"/>
  <c r="R138" i="5"/>
  <c r="U137" i="5"/>
  <c r="T137" i="5"/>
  <c r="S137" i="5"/>
  <c r="R137" i="5"/>
  <c r="U136" i="5"/>
  <c r="T136" i="5"/>
  <c r="S136" i="5"/>
  <c r="R136" i="5"/>
  <c r="U135" i="5"/>
  <c r="T135" i="5"/>
  <c r="S135" i="5"/>
  <c r="R135" i="5"/>
  <c r="U134" i="5"/>
  <c r="V134" i="5" s="1"/>
  <c r="T134" i="5"/>
  <c r="S134" i="5"/>
  <c r="R134" i="5"/>
  <c r="U473" i="5"/>
  <c r="T473" i="5"/>
  <c r="S473" i="5"/>
  <c r="R473" i="5"/>
  <c r="U131" i="5"/>
  <c r="T131" i="5"/>
  <c r="S131" i="5"/>
  <c r="R131" i="5"/>
  <c r="U130" i="5"/>
  <c r="T130" i="5"/>
  <c r="S130" i="5"/>
  <c r="R130" i="5"/>
  <c r="U129" i="5"/>
  <c r="T129" i="5"/>
  <c r="S129" i="5"/>
  <c r="R129" i="5"/>
  <c r="U128" i="5"/>
  <c r="T128" i="5"/>
  <c r="S128" i="5"/>
  <c r="R128" i="5"/>
  <c r="U464" i="5"/>
  <c r="T464" i="5"/>
  <c r="S464" i="5"/>
  <c r="R464" i="5"/>
  <c r="U463" i="5"/>
  <c r="T463" i="5"/>
  <c r="S463" i="5"/>
  <c r="R463" i="5"/>
  <c r="U462" i="5"/>
  <c r="V462" i="5" s="1"/>
  <c r="T462" i="5"/>
  <c r="S462" i="5"/>
  <c r="R462" i="5"/>
  <c r="U127" i="5"/>
  <c r="T127" i="5"/>
  <c r="S127" i="5"/>
  <c r="R127" i="5"/>
  <c r="U126" i="5"/>
  <c r="T126" i="5"/>
  <c r="S126" i="5"/>
  <c r="R126" i="5"/>
  <c r="U125" i="5"/>
  <c r="T125" i="5"/>
  <c r="S125" i="5"/>
  <c r="R125" i="5"/>
  <c r="U124" i="5"/>
  <c r="T124" i="5"/>
  <c r="S124" i="5"/>
  <c r="R124" i="5"/>
  <c r="U123" i="5"/>
  <c r="T123" i="5"/>
  <c r="S123" i="5"/>
  <c r="R123" i="5"/>
  <c r="U122" i="5"/>
  <c r="T122" i="5"/>
  <c r="S122" i="5"/>
  <c r="R122" i="5"/>
  <c r="U458" i="5"/>
  <c r="T458" i="5"/>
  <c r="S458" i="5"/>
  <c r="R458" i="5"/>
  <c r="U120" i="5"/>
  <c r="V120" i="5" s="1"/>
  <c r="T120" i="5"/>
  <c r="S120" i="5"/>
  <c r="R120" i="5"/>
  <c r="U118" i="5"/>
  <c r="T118" i="5"/>
  <c r="S118" i="5"/>
  <c r="R118" i="5"/>
  <c r="U454" i="5"/>
  <c r="T454" i="5"/>
  <c r="S454" i="5"/>
  <c r="R454" i="5"/>
  <c r="U117" i="5"/>
  <c r="T117" i="5"/>
  <c r="S117" i="5"/>
  <c r="R117" i="5"/>
  <c r="U116" i="5"/>
  <c r="T116" i="5"/>
  <c r="S116" i="5"/>
  <c r="R116" i="5"/>
  <c r="U115" i="5"/>
  <c r="T115" i="5"/>
  <c r="S115" i="5"/>
  <c r="R115" i="5"/>
  <c r="U451" i="5"/>
  <c r="T451" i="5"/>
  <c r="S451" i="5"/>
  <c r="R451" i="5"/>
  <c r="U114" i="5"/>
  <c r="T114" i="5"/>
  <c r="S114" i="5"/>
  <c r="R114" i="5"/>
  <c r="U113" i="5"/>
  <c r="V113" i="5" s="1"/>
  <c r="T113" i="5"/>
  <c r="S113" i="5"/>
  <c r="R113" i="5"/>
  <c r="U112" i="5"/>
  <c r="V112" i="5" s="1"/>
  <c r="T112" i="5"/>
  <c r="S112" i="5"/>
  <c r="R112" i="5"/>
  <c r="U111" i="5"/>
  <c r="T111" i="5"/>
  <c r="S111" i="5"/>
  <c r="R111" i="5"/>
  <c r="U110" i="5"/>
  <c r="T110" i="5"/>
  <c r="S110" i="5"/>
  <c r="R110" i="5"/>
  <c r="U109" i="5"/>
  <c r="T109" i="5"/>
  <c r="S109" i="5"/>
  <c r="R109" i="5"/>
  <c r="U108" i="5"/>
  <c r="T108" i="5"/>
  <c r="S108" i="5"/>
  <c r="R108" i="5"/>
  <c r="U107" i="5"/>
  <c r="T107" i="5"/>
  <c r="S107" i="5"/>
  <c r="R107" i="5"/>
  <c r="U106" i="5"/>
  <c r="T106" i="5"/>
  <c r="S106" i="5"/>
  <c r="R106" i="5"/>
  <c r="U105" i="5"/>
  <c r="V105" i="5" s="1"/>
  <c r="T105" i="5"/>
  <c r="S105" i="5"/>
  <c r="R105" i="5"/>
  <c r="U104" i="5"/>
  <c r="V104" i="5" s="1"/>
  <c r="T104" i="5"/>
  <c r="S104" i="5"/>
  <c r="R104" i="5"/>
  <c r="U103" i="5"/>
  <c r="T103" i="5"/>
  <c r="S103" i="5"/>
  <c r="R103" i="5"/>
  <c r="U102" i="5"/>
  <c r="T102" i="5"/>
  <c r="S102" i="5"/>
  <c r="R102" i="5"/>
  <c r="U101" i="5"/>
  <c r="T101" i="5"/>
  <c r="S101" i="5"/>
  <c r="R101" i="5"/>
  <c r="U438" i="5"/>
  <c r="T438" i="5"/>
  <c r="S438" i="5"/>
  <c r="R438" i="5"/>
  <c r="U100" i="5"/>
  <c r="T100" i="5"/>
  <c r="S100" i="5"/>
  <c r="R100" i="5"/>
  <c r="U99" i="5"/>
  <c r="T99" i="5"/>
  <c r="S99" i="5"/>
  <c r="R99" i="5"/>
  <c r="U98" i="5"/>
  <c r="V98" i="5" s="1"/>
  <c r="T98" i="5"/>
  <c r="S98" i="5"/>
  <c r="R98" i="5"/>
  <c r="U97" i="5"/>
  <c r="V97" i="5" s="1"/>
  <c r="T97" i="5"/>
  <c r="S97" i="5"/>
  <c r="R97" i="5"/>
  <c r="U96" i="5"/>
  <c r="T96" i="5"/>
  <c r="S96" i="5"/>
  <c r="R96" i="5"/>
  <c r="U95" i="5"/>
  <c r="T95" i="5"/>
  <c r="S95" i="5"/>
  <c r="R95" i="5"/>
  <c r="U434" i="5"/>
  <c r="T434" i="5"/>
  <c r="S434" i="5"/>
  <c r="R434" i="5"/>
  <c r="U94" i="5"/>
  <c r="T94" i="5"/>
  <c r="S94" i="5"/>
  <c r="R94" i="5"/>
  <c r="U93" i="5"/>
  <c r="T93" i="5"/>
  <c r="S93" i="5"/>
  <c r="R93" i="5"/>
  <c r="U432" i="5"/>
  <c r="T432" i="5"/>
  <c r="S432" i="5"/>
  <c r="R432" i="5"/>
  <c r="U92" i="5"/>
  <c r="V92" i="5" s="1"/>
  <c r="T92" i="5"/>
  <c r="S92" i="5"/>
  <c r="R92" i="5"/>
  <c r="U429" i="5"/>
  <c r="V429" i="5" s="1"/>
  <c r="T429" i="5"/>
  <c r="S429" i="5"/>
  <c r="R429" i="5"/>
  <c r="U91" i="5"/>
  <c r="T91" i="5"/>
  <c r="S91" i="5"/>
  <c r="R91" i="5"/>
  <c r="U90" i="5"/>
  <c r="T90" i="5"/>
  <c r="S90" i="5"/>
  <c r="R90" i="5"/>
  <c r="U89" i="5"/>
  <c r="T89" i="5"/>
  <c r="S89" i="5"/>
  <c r="R89" i="5"/>
  <c r="U426" i="5"/>
  <c r="T426" i="5"/>
  <c r="S426" i="5"/>
  <c r="R426" i="5"/>
  <c r="U421" i="5"/>
  <c r="T421" i="5"/>
  <c r="S421" i="5"/>
  <c r="R421" i="5"/>
  <c r="U420" i="5"/>
  <c r="T420" i="5"/>
  <c r="S420" i="5"/>
  <c r="R420" i="5"/>
  <c r="U87" i="5"/>
  <c r="V87" i="5" s="1"/>
  <c r="T87" i="5"/>
  <c r="S87" i="5"/>
  <c r="R87" i="5"/>
  <c r="U86" i="5"/>
  <c r="V86" i="5" s="1"/>
  <c r="T86" i="5"/>
  <c r="S86" i="5"/>
  <c r="R86" i="5"/>
  <c r="U85" i="5"/>
  <c r="T85" i="5"/>
  <c r="S85" i="5"/>
  <c r="R85" i="5"/>
  <c r="U413" i="5"/>
  <c r="T413" i="5"/>
  <c r="S413" i="5"/>
  <c r="R413" i="5"/>
  <c r="U412" i="5"/>
  <c r="T412" i="5"/>
  <c r="S412" i="5"/>
  <c r="R412" i="5"/>
  <c r="U84" i="5"/>
  <c r="T84" i="5"/>
  <c r="S84" i="5"/>
  <c r="R84" i="5"/>
  <c r="U82" i="5"/>
  <c r="T82" i="5"/>
  <c r="S82" i="5"/>
  <c r="R82" i="5"/>
  <c r="U81" i="5"/>
  <c r="T81" i="5"/>
  <c r="S81" i="5"/>
  <c r="R81" i="5"/>
  <c r="U80" i="5"/>
  <c r="V80" i="5" s="1"/>
  <c r="T80" i="5"/>
  <c r="S80" i="5"/>
  <c r="R80" i="5"/>
  <c r="U79" i="5"/>
  <c r="V79" i="5" s="1"/>
  <c r="T79" i="5"/>
  <c r="S79" i="5"/>
  <c r="R79" i="5"/>
  <c r="U78" i="5"/>
  <c r="T78" i="5"/>
  <c r="S78" i="5"/>
  <c r="R78" i="5"/>
  <c r="U408" i="5"/>
  <c r="T408" i="5"/>
  <c r="S408" i="5"/>
  <c r="R408" i="5"/>
  <c r="U77" i="5"/>
  <c r="T77" i="5"/>
  <c r="S77" i="5"/>
  <c r="R77" i="5"/>
  <c r="U405" i="5"/>
  <c r="T405" i="5"/>
  <c r="S405" i="5"/>
  <c r="R405" i="5"/>
  <c r="U404" i="5"/>
  <c r="T404" i="5"/>
  <c r="S404" i="5"/>
  <c r="R404" i="5"/>
  <c r="U76" i="5"/>
  <c r="T76" i="5"/>
  <c r="S76" i="5"/>
  <c r="R76" i="5"/>
  <c r="U398" i="5"/>
  <c r="V398" i="5" s="1"/>
  <c r="T398" i="5"/>
  <c r="S398" i="5"/>
  <c r="R398" i="5"/>
  <c r="U396" i="5"/>
  <c r="V396" i="5" s="1"/>
  <c r="T396" i="5"/>
  <c r="S396" i="5"/>
  <c r="R396" i="5"/>
  <c r="U75" i="5"/>
  <c r="T75" i="5"/>
  <c r="S75" i="5"/>
  <c r="R75" i="5"/>
  <c r="U394" i="5"/>
  <c r="T394" i="5"/>
  <c r="S394" i="5"/>
  <c r="R394" i="5"/>
  <c r="U74" i="5"/>
  <c r="T74" i="5"/>
  <c r="S74" i="5"/>
  <c r="R74" i="5"/>
  <c r="U390" i="5"/>
  <c r="T390" i="5"/>
  <c r="S390" i="5"/>
  <c r="R390" i="5"/>
  <c r="U385" i="5"/>
  <c r="T385" i="5"/>
  <c r="S385" i="5"/>
  <c r="R385" i="5"/>
  <c r="U71" i="5"/>
  <c r="T71" i="5"/>
  <c r="S71" i="5"/>
  <c r="R71" i="5"/>
  <c r="U379" i="5"/>
  <c r="V379" i="5" s="1"/>
  <c r="T379" i="5"/>
  <c r="S379" i="5"/>
  <c r="R379" i="5"/>
  <c r="U376" i="5"/>
  <c r="V376" i="5" s="1"/>
  <c r="T376" i="5"/>
  <c r="S376" i="5"/>
  <c r="R376" i="5"/>
  <c r="U375" i="5"/>
  <c r="T375" i="5"/>
  <c r="S375" i="5"/>
  <c r="R375" i="5"/>
  <c r="U374" i="5"/>
  <c r="T374" i="5"/>
  <c r="S374" i="5"/>
  <c r="R374" i="5"/>
  <c r="U373" i="5"/>
  <c r="T373" i="5"/>
  <c r="S373" i="5"/>
  <c r="R373" i="5"/>
  <c r="U69" i="5"/>
  <c r="T69" i="5"/>
  <c r="S69" i="5"/>
  <c r="R69" i="5"/>
  <c r="U371" i="5"/>
  <c r="T371" i="5"/>
  <c r="S371" i="5"/>
  <c r="R371" i="5"/>
  <c r="U68" i="5"/>
  <c r="T68" i="5"/>
  <c r="S68" i="5"/>
  <c r="R68" i="5"/>
  <c r="U66" i="5"/>
  <c r="V66" i="5" s="1"/>
  <c r="T66" i="5"/>
  <c r="S66" i="5"/>
  <c r="R66" i="5"/>
  <c r="U65" i="5"/>
  <c r="V65" i="5" s="1"/>
  <c r="T65" i="5"/>
  <c r="S65" i="5"/>
  <c r="R65" i="5"/>
  <c r="U64" i="5"/>
  <c r="T64" i="5"/>
  <c r="S64" i="5"/>
  <c r="R64" i="5"/>
  <c r="U63" i="5"/>
  <c r="T63" i="5"/>
  <c r="S63" i="5"/>
  <c r="R63" i="5"/>
  <c r="U62" i="5"/>
  <c r="T62" i="5"/>
  <c r="S62" i="5"/>
  <c r="R62" i="5"/>
  <c r="U61" i="5"/>
  <c r="T61" i="5"/>
  <c r="S61" i="5"/>
  <c r="R61" i="5"/>
  <c r="U361" i="5"/>
  <c r="T361" i="5"/>
  <c r="S361" i="5"/>
  <c r="R361" i="5"/>
  <c r="U60" i="5"/>
  <c r="T60" i="5"/>
  <c r="S60" i="5"/>
  <c r="R60" i="5"/>
  <c r="U59" i="5"/>
  <c r="T59" i="5"/>
  <c r="S59" i="5"/>
  <c r="R59" i="5"/>
  <c r="V59" i="5" s="1"/>
  <c r="U58" i="5"/>
  <c r="V58" i="5" s="1"/>
  <c r="T58" i="5"/>
  <c r="S58" i="5"/>
  <c r="R58" i="5"/>
  <c r="U56" i="5"/>
  <c r="T56" i="5"/>
  <c r="S56" i="5"/>
  <c r="R56" i="5"/>
  <c r="U55" i="5"/>
  <c r="T55" i="5"/>
  <c r="S55" i="5"/>
  <c r="R55" i="5"/>
  <c r="U54" i="5"/>
  <c r="T54" i="5"/>
  <c r="S54" i="5"/>
  <c r="R54" i="5"/>
  <c r="U335" i="5"/>
  <c r="T335" i="5"/>
  <c r="S335" i="5"/>
  <c r="R335" i="5"/>
  <c r="U53" i="5"/>
  <c r="T53" i="5"/>
  <c r="S53" i="5"/>
  <c r="R53" i="5"/>
  <c r="U52" i="5"/>
  <c r="T52" i="5"/>
  <c r="S52" i="5"/>
  <c r="R52" i="5"/>
  <c r="U51" i="5"/>
  <c r="V51" i="5" s="1"/>
  <c r="T51" i="5"/>
  <c r="S51" i="5"/>
  <c r="R51" i="5"/>
  <c r="U50" i="5"/>
  <c r="T50" i="5"/>
  <c r="S50" i="5"/>
  <c r="R50" i="5"/>
  <c r="U49" i="5"/>
  <c r="T49" i="5"/>
  <c r="S49" i="5"/>
  <c r="R49" i="5"/>
  <c r="U318" i="5"/>
  <c r="T318" i="5"/>
  <c r="S318" i="5"/>
  <c r="R318" i="5"/>
  <c r="U48" i="5"/>
  <c r="T48" i="5"/>
  <c r="S48" i="5"/>
  <c r="R48" i="5"/>
  <c r="U47" i="5"/>
  <c r="T47" i="5"/>
  <c r="S47" i="5"/>
  <c r="R47" i="5"/>
  <c r="U46" i="5"/>
  <c r="T46" i="5"/>
  <c r="S46" i="5"/>
  <c r="R46" i="5"/>
  <c r="U45" i="5"/>
  <c r="T45" i="5"/>
  <c r="S45" i="5"/>
  <c r="R45" i="5"/>
  <c r="U44" i="5"/>
  <c r="V44" i="5" s="1"/>
  <c r="T44" i="5"/>
  <c r="S44" i="5"/>
  <c r="R44" i="5"/>
  <c r="U43" i="5"/>
  <c r="T43" i="5"/>
  <c r="S43" i="5"/>
  <c r="R43" i="5"/>
  <c r="U311" i="5"/>
  <c r="T311" i="5"/>
  <c r="S311" i="5"/>
  <c r="R311" i="5"/>
  <c r="U42" i="5"/>
  <c r="T42" i="5"/>
  <c r="S42" i="5"/>
  <c r="R42" i="5"/>
  <c r="U41" i="5"/>
  <c r="T41" i="5"/>
  <c r="S41" i="5"/>
  <c r="R41" i="5"/>
  <c r="U40" i="5"/>
  <c r="T40" i="5"/>
  <c r="S40" i="5"/>
  <c r="R40" i="5"/>
  <c r="U39" i="5"/>
  <c r="T39" i="5"/>
  <c r="S39" i="5"/>
  <c r="R39" i="5"/>
  <c r="U298" i="5"/>
  <c r="T298" i="5"/>
  <c r="S298" i="5"/>
  <c r="R298" i="5"/>
  <c r="U38" i="5"/>
  <c r="V38" i="5" s="1"/>
  <c r="T38" i="5"/>
  <c r="S38" i="5"/>
  <c r="R38" i="5"/>
  <c r="U37" i="5"/>
  <c r="T37" i="5"/>
  <c r="S37" i="5"/>
  <c r="R37" i="5"/>
  <c r="U36" i="5"/>
  <c r="T36" i="5"/>
  <c r="S36" i="5"/>
  <c r="R36" i="5"/>
  <c r="U292" i="5"/>
  <c r="T292" i="5"/>
  <c r="S292" i="5"/>
  <c r="R292" i="5"/>
  <c r="U35" i="5"/>
  <c r="T35" i="5"/>
  <c r="S35" i="5"/>
  <c r="R35" i="5"/>
  <c r="U34" i="5"/>
  <c r="T34" i="5"/>
  <c r="S34" i="5"/>
  <c r="R34" i="5"/>
  <c r="U33" i="5"/>
  <c r="T33" i="5"/>
  <c r="S33" i="5"/>
  <c r="R33" i="5"/>
  <c r="U32" i="5"/>
  <c r="T32" i="5"/>
  <c r="S32" i="5"/>
  <c r="R32" i="5"/>
  <c r="U286" i="5"/>
  <c r="V286" i="5" s="1"/>
  <c r="T286" i="5"/>
  <c r="S286" i="5"/>
  <c r="R286" i="5"/>
  <c r="U31" i="5"/>
  <c r="T31" i="5"/>
  <c r="S31" i="5"/>
  <c r="R31" i="5"/>
  <c r="U30" i="5"/>
  <c r="T30" i="5"/>
  <c r="S30" i="5"/>
  <c r="R30" i="5"/>
  <c r="U29" i="5"/>
  <c r="T29" i="5"/>
  <c r="S29" i="5"/>
  <c r="R29" i="5"/>
  <c r="U272" i="5"/>
  <c r="T272" i="5"/>
  <c r="S272" i="5"/>
  <c r="R272" i="5"/>
  <c r="U271" i="5"/>
  <c r="T271" i="5"/>
  <c r="S271" i="5"/>
  <c r="R271" i="5"/>
  <c r="U270" i="5"/>
  <c r="T270" i="5"/>
  <c r="S270" i="5"/>
  <c r="R270" i="5"/>
  <c r="U269" i="5"/>
  <c r="T269" i="5"/>
  <c r="S269" i="5"/>
  <c r="R269" i="5"/>
  <c r="U268" i="5"/>
  <c r="V268" i="5" s="1"/>
  <c r="T268" i="5"/>
  <c r="S268" i="5"/>
  <c r="R268" i="5"/>
  <c r="U27" i="5"/>
  <c r="T27" i="5"/>
  <c r="S27" i="5"/>
  <c r="R27" i="5"/>
  <c r="U26" i="5"/>
  <c r="T26" i="5"/>
  <c r="S26" i="5"/>
  <c r="R26" i="5"/>
  <c r="U25" i="5"/>
  <c r="T25" i="5"/>
  <c r="S25" i="5"/>
  <c r="R25" i="5"/>
  <c r="U24" i="5"/>
  <c r="T24" i="5"/>
  <c r="S24" i="5"/>
  <c r="R24" i="5"/>
  <c r="U23" i="5"/>
  <c r="T23" i="5"/>
  <c r="S23" i="5"/>
  <c r="R23" i="5"/>
  <c r="U241" i="5"/>
  <c r="T241" i="5"/>
  <c r="S241" i="5"/>
  <c r="R241" i="5"/>
  <c r="U232" i="5"/>
  <c r="T232" i="5"/>
  <c r="S232" i="5"/>
  <c r="R232" i="5"/>
  <c r="U231" i="5"/>
  <c r="V231" i="5" s="1"/>
  <c r="T231" i="5"/>
  <c r="S231" i="5"/>
  <c r="R231" i="5"/>
  <c r="U230" i="5"/>
  <c r="T230" i="5"/>
  <c r="S230" i="5"/>
  <c r="R230" i="5"/>
  <c r="U22" i="5"/>
  <c r="T22" i="5"/>
  <c r="S22" i="5"/>
  <c r="R22" i="5"/>
  <c r="U224" i="5"/>
  <c r="T224" i="5"/>
  <c r="S224" i="5"/>
  <c r="R224" i="5"/>
  <c r="U223" i="5"/>
  <c r="T223" i="5"/>
  <c r="S223" i="5"/>
  <c r="R223" i="5"/>
  <c r="U21" i="5"/>
  <c r="T21" i="5"/>
  <c r="S21" i="5"/>
  <c r="R21" i="5"/>
  <c r="U20" i="5"/>
  <c r="T20" i="5"/>
  <c r="S20" i="5"/>
  <c r="R20" i="5"/>
  <c r="U19" i="5"/>
  <c r="T19" i="5"/>
  <c r="S19" i="5"/>
  <c r="R19" i="5"/>
  <c r="U206" i="5"/>
  <c r="V206" i="5" s="1"/>
  <c r="T206" i="5"/>
  <c r="S206" i="5"/>
  <c r="R206" i="5"/>
  <c r="U18" i="5"/>
  <c r="T18" i="5"/>
  <c r="S18" i="5"/>
  <c r="R18" i="5"/>
  <c r="U202" i="5"/>
  <c r="T202" i="5"/>
  <c r="S202" i="5"/>
  <c r="R202" i="5"/>
  <c r="U198" i="5"/>
  <c r="T198" i="5"/>
  <c r="S198" i="5"/>
  <c r="R198" i="5"/>
  <c r="U17" i="5"/>
  <c r="T17" i="5"/>
  <c r="S17" i="5"/>
  <c r="R17" i="5"/>
  <c r="U187" i="5"/>
  <c r="T187" i="5"/>
  <c r="S187" i="5"/>
  <c r="R187" i="5"/>
  <c r="U16" i="5"/>
  <c r="T16" i="5"/>
  <c r="S16" i="5"/>
  <c r="R16" i="5"/>
  <c r="U185" i="5"/>
  <c r="T185" i="5"/>
  <c r="S185" i="5"/>
  <c r="R185" i="5"/>
  <c r="U15" i="5"/>
  <c r="V15" i="5" s="1"/>
  <c r="T15" i="5"/>
  <c r="S15" i="5"/>
  <c r="R15" i="5"/>
  <c r="U179" i="5"/>
  <c r="T179" i="5"/>
  <c r="S179" i="5"/>
  <c r="R179" i="5"/>
  <c r="U167" i="5"/>
  <c r="T167" i="5"/>
  <c r="S167" i="5"/>
  <c r="R167" i="5"/>
  <c r="U166" i="5"/>
  <c r="T166" i="5"/>
  <c r="S166" i="5"/>
  <c r="R166" i="5"/>
  <c r="U14" i="5"/>
  <c r="T14" i="5"/>
  <c r="S14" i="5"/>
  <c r="R14" i="5"/>
  <c r="U163" i="5"/>
  <c r="T163" i="5"/>
  <c r="S163" i="5"/>
  <c r="R163" i="5"/>
  <c r="U160" i="5"/>
  <c r="T160" i="5"/>
  <c r="S160" i="5"/>
  <c r="R160" i="5"/>
  <c r="U13" i="5"/>
  <c r="T13" i="5"/>
  <c r="S13" i="5"/>
  <c r="R13" i="5"/>
  <c r="U133" i="5"/>
  <c r="V133" i="5" s="1"/>
  <c r="T133" i="5"/>
  <c r="S133" i="5"/>
  <c r="R133" i="5"/>
  <c r="U132" i="5"/>
  <c r="T132" i="5"/>
  <c r="S132" i="5"/>
  <c r="R132" i="5"/>
  <c r="U121" i="5"/>
  <c r="T121" i="5"/>
  <c r="S121" i="5"/>
  <c r="R121" i="5"/>
  <c r="U119" i="5"/>
  <c r="T119" i="5"/>
  <c r="S119" i="5"/>
  <c r="R119" i="5"/>
  <c r="U88" i="5"/>
  <c r="T88" i="5"/>
  <c r="S88" i="5"/>
  <c r="R88" i="5"/>
  <c r="U12" i="5"/>
  <c r="T12" i="5"/>
  <c r="S12" i="5"/>
  <c r="R12" i="5"/>
  <c r="U11" i="5"/>
  <c r="T11" i="5"/>
  <c r="S11" i="5"/>
  <c r="R11" i="5"/>
  <c r="U83" i="5"/>
  <c r="T83" i="5"/>
  <c r="S83" i="5"/>
  <c r="R83" i="5"/>
  <c r="U73" i="5"/>
  <c r="V73" i="5" s="1"/>
  <c r="T73" i="5"/>
  <c r="S73" i="5"/>
  <c r="R73" i="5"/>
  <c r="U72" i="5"/>
  <c r="T72" i="5"/>
  <c r="S72" i="5"/>
  <c r="R72" i="5"/>
  <c r="U70" i="5"/>
  <c r="T70" i="5"/>
  <c r="S70" i="5"/>
  <c r="R70" i="5"/>
  <c r="U67" i="5"/>
  <c r="T67" i="5"/>
  <c r="S67" i="5"/>
  <c r="R67" i="5"/>
  <c r="U57" i="5"/>
  <c r="T57" i="5"/>
  <c r="S57" i="5"/>
  <c r="R57" i="5"/>
  <c r="U10" i="5"/>
  <c r="T10" i="5"/>
  <c r="S10" i="5"/>
  <c r="R10" i="5"/>
  <c r="U28" i="5"/>
  <c r="T28" i="5"/>
  <c r="S28" i="5"/>
  <c r="R28" i="5"/>
  <c r="C7" i="5"/>
  <c r="V501" i="5" l="1"/>
  <c r="V500" i="5"/>
  <c r="V499" i="5"/>
  <c r="V498" i="5"/>
  <c r="V495" i="5"/>
  <c r="V493" i="5"/>
  <c r="V492" i="5"/>
  <c r="V491" i="5"/>
  <c r="V490" i="5"/>
  <c r="V489" i="5"/>
  <c r="V487" i="5"/>
  <c r="V483" i="5"/>
  <c r="V481" i="5"/>
  <c r="V477" i="5"/>
  <c r="V474" i="5"/>
  <c r="V450" i="5"/>
  <c r="V446" i="5"/>
  <c r="V443" i="5"/>
  <c r="V433" i="5"/>
  <c r="V406" i="5"/>
  <c r="V399" i="5"/>
  <c r="V386" i="5"/>
  <c r="V381" i="5"/>
  <c r="V377" i="5"/>
  <c r="V363" i="5"/>
  <c r="V355" i="5"/>
  <c r="V352" i="5"/>
  <c r="V211" i="5"/>
  <c r="V210" i="5"/>
  <c r="V431" i="5"/>
  <c r="V430" i="5"/>
  <c r="V428" i="5"/>
  <c r="V425" i="5"/>
  <c r="V422" i="5"/>
  <c r="V419" i="5"/>
  <c r="V418" i="5"/>
  <c r="V417" i="5"/>
  <c r="V415" i="5"/>
  <c r="V410" i="5"/>
  <c r="V409" i="5"/>
  <c r="V407" i="5"/>
  <c r="V402" i="5"/>
  <c r="V393" i="5"/>
  <c r="V384" i="5"/>
  <c r="V358" i="5"/>
  <c r="V226" i="5"/>
  <c r="V218" i="5"/>
  <c r="V217" i="5"/>
  <c r="V216" i="5"/>
  <c r="V215" i="5"/>
  <c r="V209" i="5"/>
  <c r="V208" i="5"/>
  <c r="V207" i="5"/>
  <c r="V347" i="5"/>
  <c r="V346" i="5"/>
  <c r="V345" i="5"/>
  <c r="V344" i="5"/>
  <c r="V342" i="5"/>
  <c r="V339" i="5"/>
  <c r="V338" i="5"/>
  <c r="V337" i="5"/>
  <c r="V336" i="5"/>
  <c r="V333" i="5"/>
  <c r="V330" i="5"/>
  <c r="V329" i="5"/>
  <c r="V328" i="5"/>
  <c r="V327" i="5"/>
  <c r="V325" i="5"/>
  <c r="V322" i="5"/>
  <c r="V321" i="5"/>
  <c r="V320" i="5"/>
  <c r="V319" i="5"/>
  <c r="V316" i="5"/>
  <c r="V314" i="5"/>
  <c r="V313" i="5"/>
  <c r="V312" i="5"/>
  <c r="V310" i="5"/>
  <c r="V309" i="5"/>
  <c r="V308" i="5"/>
  <c r="V307" i="5"/>
  <c r="V305" i="5"/>
  <c r="V304" i="5"/>
  <c r="V303" i="5"/>
  <c r="V302" i="5"/>
  <c r="V301" i="5"/>
  <c r="V300" i="5"/>
  <c r="V299" i="5"/>
  <c r="V296" i="5"/>
  <c r="V295" i="5"/>
  <c r="V294" i="5"/>
  <c r="V293" i="5"/>
  <c r="V291" i="5"/>
  <c r="V290" i="5"/>
  <c r="V289" i="5"/>
  <c r="V287" i="5"/>
  <c r="V285" i="5"/>
  <c r="V284" i="5"/>
  <c r="V283" i="5"/>
  <c r="V282" i="5"/>
  <c r="V281" i="5"/>
  <c r="V280" i="5"/>
  <c r="V256" i="5"/>
  <c r="V255" i="5"/>
  <c r="V254" i="5"/>
  <c r="V252" i="5"/>
  <c r="V251" i="5"/>
  <c r="V249" i="5"/>
  <c r="V247" i="5"/>
  <c r="V246" i="5"/>
  <c r="V244" i="5"/>
  <c r="V243" i="5"/>
  <c r="V240" i="5"/>
  <c r="V238" i="5"/>
  <c r="V237" i="5"/>
  <c r="V235" i="5"/>
  <c r="V234" i="5"/>
  <c r="V229" i="5"/>
  <c r="V225" i="5"/>
  <c r="V219" i="5"/>
  <c r="V213" i="5"/>
  <c r="V204" i="5"/>
  <c r="V420" i="5"/>
  <c r="V277" i="5"/>
  <c r="V276" i="5"/>
  <c r="V275" i="5"/>
  <c r="V274" i="5"/>
  <c r="V273" i="5"/>
  <c r="V267" i="5"/>
  <c r="V265" i="5"/>
  <c r="V264" i="5"/>
  <c r="V263" i="5"/>
  <c r="V262" i="5"/>
  <c r="V261" i="5"/>
  <c r="V260" i="5"/>
  <c r="V259" i="5"/>
  <c r="V257" i="5"/>
  <c r="V253" i="5"/>
  <c r="V248" i="5"/>
  <c r="V245" i="5"/>
  <c r="V239" i="5"/>
  <c r="V236" i="5"/>
  <c r="V221" i="5"/>
  <c r="V201" i="5"/>
  <c r="V200" i="5"/>
  <c r="V199" i="5"/>
  <c r="V197" i="5"/>
  <c r="V196" i="5"/>
  <c r="V194" i="5"/>
  <c r="V192" i="5"/>
  <c r="V191" i="5"/>
  <c r="V190" i="5"/>
  <c r="V189" i="5"/>
  <c r="V188" i="5"/>
  <c r="V184" i="5"/>
  <c r="V182" i="5"/>
  <c r="V181" i="5"/>
  <c r="V180" i="5"/>
  <c r="V178" i="5"/>
  <c r="V177" i="5"/>
  <c r="V175" i="5"/>
  <c r="V173" i="5"/>
  <c r="V172" i="5"/>
  <c r="V171" i="5"/>
  <c r="V170" i="5"/>
  <c r="V169" i="5"/>
  <c r="V165" i="5"/>
  <c r="V164" i="5"/>
  <c r="V162" i="5"/>
  <c r="V161" i="5"/>
  <c r="V159" i="5"/>
  <c r="V158" i="5"/>
  <c r="V157" i="5"/>
  <c r="V155" i="5"/>
  <c r="V154" i="5"/>
  <c r="V153" i="5"/>
  <c r="V152" i="5"/>
  <c r="V151" i="5"/>
  <c r="V150" i="5"/>
  <c r="V149" i="5"/>
  <c r="V147" i="5"/>
  <c r="V146" i="5"/>
  <c r="V511" i="5"/>
  <c r="V510" i="5"/>
  <c r="V509" i="5"/>
  <c r="V508" i="5"/>
  <c r="V507" i="5"/>
  <c r="V505" i="5"/>
  <c r="V504" i="5"/>
  <c r="V503" i="5"/>
  <c r="V502" i="5"/>
  <c r="V145" i="5"/>
  <c r="V144" i="5"/>
  <c r="V143" i="5"/>
  <c r="V128" i="5"/>
  <c r="V464" i="5"/>
  <c r="V463" i="5"/>
  <c r="V127" i="5"/>
  <c r="V125" i="5"/>
  <c r="V123" i="5"/>
  <c r="V122" i="5"/>
  <c r="V458" i="5"/>
  <c r="V118" i="5"/>
  <c r="V454" i="5"/>
  <c r="V117" i="5"/>
  <c r="V116" i="5"/>
  <c r="V451" i="5"/>
  <c r="V109" i="5"/>
  <c r="V108" i="5"/>
  <c r="V106" i="5"/>
  <c r="V103" i="5"/>
  <c r="V102" i="5"/>
  <c r="V438" i="5"/>
  <c r="V100" i="5"/>
  <c r="V99" i="5"/>
  <c r="V96" i="5"/>
  <c r="V95" i="5"/>
  <c r="V93" i="5"/>
  <c r="V426" i="5"/>
  <c r="V421" i="5"/>
  <c r="V140" i="5"/>
  <c r="V139" i="5"/>
  <c r="V138" i="5"/>
  <c r="V137" i="5"/>
  <c r="V136" i="5"/>
  <c r="V135" i="5"/>
  <c r="V473" i="5"/>
  <c r="V131" i="5"/>
  <c r="V130" i="5"/>
  <c r="V129" i="5"/>
  <c r="V126" i="5"/>
  <c r="V124" i="5"/>
  <c r="V115" i="5"/>
  <c r="V114" i="5"/>
  <c r="V111" i="5"/>
  <c r="V110" i="5"/>
  <c r="V107" i="5"/>
  <c r="V101" i="5"/>
  <c r="V434" i="5"/>
  <c r="V94" i="5"/>
  <c r="V432" i="5"/>
  <c r="V85" i="5"/>
  <c r="V413" i="5"/>
  <c r="V412" i="5"/>
  <c r="V84" i="5"/>
  <c r="V82" i="5"/>
  <c r="V81" i="5"/>
  <c r="V78" i="5"/>
  <c r="V408" i="5"/>
  <c r="V77" i="5"/>
  <c r="V405" i="5"/>
  <c r="V404" i="5"/>
  <c r="V76" i="5"/>
  <c r="V75" i="5"/>
  <c r="V394" i="5"/>
  <c r="V74" i="5"/>
  <c r="V390" i="5"/>
  <c r="V385" i="5"/>
  <c r="V71" i="5"/>
  <c r="V375" i="5"/>
  <c r="V374" i="5"/>
  <c r="V373" i="5"/>
  <c r="V69" i="5"/>
  <c r="V371" i="5"/>
  <c r="V68" i="5"/>
  <c r="V64" i="5"/>
  <c r="V63" i="5"/>
  <c r="V62" i="5"/>
  <c r="V61" i="5"/>
  <c r="V361" i="5"/>
  <c r="V60" i="5"/>
  <c r="V56" i="5"/>
  <c r="V55" i="5"/>
  <c r="V54" i="5"/>
  <c r="V335" i="5"/>
  <c r="V53" i="5"/>
  <c r="V52" i="5"/>
  <c r="V50" i="5"/>
  <c r="V49" i="5"/>
  <c r="V318" i="5"/>
  <c r="V48" i="5"/>
  <c r="V47" i="5"/>
  <c r="V46" i="5"/>
  <c r="V45" i="5"/>
  <c r="V43" i="5"/>
  <c r="V311" i="5"/>
  <c r="V42" i="5"/>
  <c r="V41" i="5"/>
  <c r="V40" i="5"/>
  <c r="V39" i="5"/>
  <c r="V298" i="5"/>
  <c r="V479" i="5"/>
  <c r="V475" i="5"/>
  <c r="V468" i="5"/>
  <c r="V467" i="5"/>
  <c r="V461" i="5"/>
  <c r="V459" i="5"/>
  <c r="V453" i="5"/>
  <c r="V452" i="5"/>
  <c r="V442" i="5"/>
  <c r="V440" i="5"/>
  <c r="V437" i="5"/>
  <c r="V389" i="5"/>
  <c r="V387" i="5"/>
  <c r="V383" i="5"/>
  <c r="V372" i="5"/>
  <c r="V367" i="5"/>
  <c r="V362" i="5"/>
  <c r="V360" i="5"/>
  <c r="V354" i="5"/>
  <c r="V350" i="5"/>
  <c r="V349" i="5"/>
  <c r="V227" i="5"/>
  <c r="V222" i="5"/>
  <c r="V90" i="5"/>
  <c r="V89" i="5"/>
  <c r="V37" i="5"/>
  <c r="V36" i="5"/>
  <c r="V292" i="5"/>
  <c r="V35" i="5"/>
  <c r="V34" i="5"/>
  <c r="V33" i="5"/>
  <c r="V32" i="5"/>
  <c r="V31" i="5"/>
  <c r="V30" i="5"/>
  <c r="V29" i="5"/>
  <c r="V272" i="5"/>
  <c r="V271" i="5"/>
  <c r="V270" i="5"/>
  <c r="V269" i="5"/>
  <c r="V27" i="5"/>
  <c r="V26" i="5"/>
  <c r="V25" i="5"/>
  <c r="V24" i="5"/>
  <c r="V23" i="5"/>
  <c r="V241" i="5"/>
  <c r="V232" i="5"/>
  <c r="V230" i="5"/>
  <c r="V22" i="5"/>
  <c r="V224" i="5"/>
  <c r="V223" i="5"/>
  <c r="V21" i="5"/>
  <c r="V20" i="5"/>
  <c r="V19" i="5"/>
  <c r="V18" i="5"/>
  <c r="V202" i="5"/>
  <c r="V198" i="5"/>
  <c r="V17" i="5"/>
  <c r="V187" i="5"/>
  <c r="V16" i="5"/>
  <c r="V185" i="5"/>
  <c r="V179" i="5"/>
  <c r="V167" i="5"/>
  <c r="V166" i="5"/>
  <c r="V14" i="5"/>
  <c r="V163" i="5"/>
  <c r="V160" i="5"/>
  <c r="V13" i="5"/>
  <c r="V132" i="5"/>
  <c r="V121" i="5"/>
  <c r="V119" i="5"/>
  <c r="V88" i="5"/>
  <c r="V12" i="5"/>
  <c r="V11" i="5"/>
  <c r="V83" i="5"/>
  <c r="V72" i="5"/>
  <c r="V70" i="5"/>
  <c r="V67" i="5"/>
  <c r="V57" i="5"/>
  <c r="V10" i="5"/>
  <c r="V28" i="5"/>
  <c r="V485" i="5"/>
  <c r="V482" i="5"/>
  <c r="V472" i="5"/>
  <c r="V470" i="5"/>
  <c r="V466" i="5"/>
  <c r="V465" i="5"/>
  <c r="V456" i="5"/>
  <c r="V448" i="5"/>
  <c r="V444" i="5"/>
  <c r="V397" i="5"/>
  <c r="V395" i="5"/>
  <c r="V391" i="5"/>
  <c r="V370" i="5"/>
  <c r="V369" i="5"/>
  <c r="V366" i="5"/>
  <c r="V364" i="5"/>
  <c r="V353" i="5"/>
  <c r="V228" i="5"/>
  <c r="V9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</authors>
  <commentList>
    <comment ref="F9" authorId="0" shapeId="0" xr:uid="{00000000-0006-0000-0400-000001000000}">
      <text>
        <r>
          <rPr>
            <sz val="10"/>
            <rFont val="Arial"/>
            <family val="2"/>
          </rPr>
          <t>Source: avgprocessingdayslast4years.xlsx / Reference Sheet — de-duplicated, received 2024–2025, completed-only.</t>
        </r>
      </text>
    </comment>
    <comment ref="G9" authorId="0" shapeId="0" xr:uid="{00000000-0006-0000-0400-000002000000}">
      <text>
        <r>
          <rPr>
            <sz val="10"/>
            <rFont val="Arial"/>
            <family val="2"/>
          </rPr>
          <t>Source: annual volume.xlsx — independent volume by form (cross-check).</t>
        </r>
      </text>
    </comment>
    <comment ref="I9" authorId="0" shapeId="0" xr:uid="{00000000-0006-0000-0400-000003000000}">
      <text>
        <r>
          <rPr>
            <sz val="10"/>
            <rFont val="Arial"/>
            <family val="2"/>
          </rPr>
          <t>Source: Reference Sheet — median of Processing Days (calendar).</t>
        </r>
      </text>
    </comment>
    <comment ref="K9" authorId="0" shapeId="0" xr:uid="{00000000-0006-0000-0400-000004000000}">
      <text>
        <r>
          <rPr>
            <sz val="10"/>
            <rFont val="Arial"/>
            <family val="2"/>
          </rPr>
          <t>Source: Reference Sheet — share of completed submissions over 90 days (Target90 proxy).</t>
        </r>
      </text>
    </comment>
    <comment ref="L9" authorId="0" shapeId="0" xr:uid="{00000000-0006-0000-0400-000005000000}">
      <text>
        <r>
          <rPr>
            <sz val="10"/>
            <rFont val="Arial"/>
            <family val="2"/>
          </rPr>
          <t>Source: Reference Sheet — share over 180 days (Energy-3309 default proxy).</t>
        </r>
      </text>
    </comment>
    <comment ref="M9" authorId="0" shapeId="0" xr:uid="{00000000-0006-0000-0400-000006000000}">
      <text>
        <r>
          <rPr>
            <sz val="10"/>
            <rFont val="Arial"/>
            <family val="2"/>
          </rPr>
          <t>Source: backlog.xlsx — summed to form level. NOT action-level; do not sum across rows of the same form.</t>
        </r>
      </text>
    </comment>
    <comment ref="N9" authorId="0" shapeId="0" xr:uid="{00000000-0006-0000-0400-000007000000}">
      <text>
        <r>
          <rPr>
            <sz val="10"/>
            <rFont val="Arial"/>
            <family val="2"/>
          </rPr>
          <t>Source: permittypes.xlsx / Distinct — Target90 Proviso 55.26 by category.</t>
        </r>
      </text>
    </comment>
    <comment ref="O9" authorId="0" shapeId="0" xr:uid="{00000000-0006-0000-0400-000008000000}">
      <text>
        <r>
          <rPr>
            <sz val="10"/>
            <rFont val="Arial"/>
            <family val="2"/>
          </rPr>
          <t>Source: backlogSinceJuly1.xlsx — Energy Security Bill 3309 'can be' (energy-ELIGIBLE, not confirmed actuals).</t>
        </r>
      </text>
    </comment>
    <comment ref="P9" authorId="0" shapeId="0" xr:uid="{00000000-0006-0000-0400-000009000000}">
      <text>
        <r>
          <rPr>
            <sz val="10"/>
            <rFont val="Arial"/>
            <family val="2"/>
          </rPr>
          <t>Source: permittypes.xlsx / Distinct — CZC Bill 3931.</t>
        </r>
      </text>
    </comment>
    <comment ref="Q9" authorId="0" shapeId="0" xr:uid="{00000000-0006-0000-0400-00000A000000}">
      <text>
        <r>
          <rPr>
            <sz val="10"/>
            <rFont val="Arial"/>
            <family val="2"/>
          </rPr>
          <t>Source: backlogSinceJuly1.xlsx — Public Notice requirement present.</t>
        </r>
      </text>
    </comment>
    <comment ref="V9" authorId="0" shapeId="0" xr:uid="{00000000-0006-0000-0400-00000B000000}">
      <text>
        <r>
          <rPr>
            <sz val="10"/>
            <color rgb="FF000000"/>
            <rFont val="Arial"/>
            <family val="2"/>
          </rPr>
          <t>Formula: =U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>$C$3+S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>$C$4+T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>$C$5+R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>$C$6 (weights editable above).</t>
        </r>
      </text>
    </comment>
  </commentList>
</comments>
</file>

<file path=xl/sharedStrings.xml><?xml version="1.0" encoding="utf-8"?>
<sst xmlns="http://schemas.openxmlformats.org/spreadsheetml/2006/main" count="5467" uniqueCount="1605">
  <si>
    <t>SCDES Permitting — Unified Data &amp; AI-Targeting Model</t>
  </si>
  <si>
    <t>Prepared for the IDENTIFY step (Step 2 of the GOVERN→IDENTIFY→PROCURE→TEST→DEPLOY→MEASURE→SUNSET lifecycle). Internal SCDES proof-of-concept analysis.</t>
  </si>
  <si>
    <t>What this file is</t>
  </si>
  <si>
    <t>Purpose</t>
  </si>
  <si>
    <t>One consolidated workbook that pulls the six separate source files into a single, traceable structure; preserves the analyst's original view; and adds a re-weighted view that corrects the data problems found on review. It is built to support a defensible decision about where SCDES should first point permitting AI.</t>
  </si>
  <si>
    <t>Two required tables</t>
  </si>
  <si>
    <t>TAB 3 (Table A — As Presented) reproduces the analyst's quadrant findings unchanged. TAB 4 (Table B — Re-weighted) rebuilds the metrics from the raw submission log and scores each permit action with a transparent, governance-first weighting. Compare the two to see how the conclusion shifts once the data is corrected.</t>
  </si>
  <si>
    <t>Traceability rule</t>
  </si>
  <si>
    <t>Every value in this workbook is traceable to one of the six source files listed on TAB 1. No number is invented. Where a source does not contain a needed value, the cell is left blank and flagged as a GAP (TAB 5) rather than filled with an estimate.</t>
  </si>
  <si>
    <t>How to read the tabs</t>
  </si>
  <si>
    <t>TAB 1 · Source Files</t>
  </si>
  <si>
    <t>Inventory of the six source files: what each contains, row counts, coverage window, and its role/reliability.</t>
  </si>
  <si>
    <t>TAB 2 · Data Quality Log</t>
  </si>
  <si>
    <t>Every data problem found, with severity, the evidence (actual counts), the source, and why it matters for the decision.</t>
  </si>
  <si>
    <t>TAB 3 · Table A — As Presented</t>
  </si>
  <si>
    <t>The analyst's 'Quadrant Breakdown' sheet, reproduced as delivered. Treat as the starting inventory, NOT as decision-grade.</t>
  </si>
  <si>
    <t>TAB 4 · Table B — Re-weighted</t>
  </si>
  <si>
    <t>502 permit actions rebuilt from the raw log: de-duplicated volume, tail-latency (the right latency measure), form-level backlog, statutory-deadline flags, and a weighted Composite Priority score. Weights are editable in the yellow assumption block.</t>
  </si>
  <si>
    <t>TAB 5 · Gaps &amp; Needed Data</t>
  </si>
  <si>
    <t>What the current exports cannot answer, and the specific data SCDES would need to make this fully decision-grade.</t>
  </si>
  <si>
    <t>Key definitions</t>
  </si>
  <si>
    <t>Processing Days</t>
  </si>
  <si>
    <t>Calendar days from 'Received Date' to 'Submission Process Completed Date'. Verified: the stored value equals that subtraction exactly. NOTE the analyst sheet labels this 'Working Days' — it is NOT business days.</t>
  </si>
  <si>
    <t>Right-censoring</t>
  </si>
  <si>
    <t>The raw log contains COMPLETED records only. Slow cases still pending are absent, so averages by received-year understate true cycle time. This is why % over 90/180 days (tail mass) is used instead of a single average.</t>
  </si>
  <si>
    <t>% &gt; 90 days / % &gt; 180 days</t>
  </si>
  <si>
    <t>Share of completed submissions that took longer than the Target90 (Proviso 55.26) and the Energy-3309 (180-day) statutory windows. Tail mass is the decision-relevant latency signal.</t>
  </si>
  <si>
    <t>EIP / Energy 3309</t>
  </si>
  <si>
    <t>Energy Infrastructure Projects (utility-company projects). Must be issued within 180 days regardless of whether a decision is reached; require a pre-application meeting; typically span multiple permits/programs with elevated public and federal interest. A project category, not an application-quality flag.</t>
  </si>
  <si>
    <t>Target90 (Proviso 55.26)</t>
  </si>
  <si>
    <t>Statutory 90-day turnaround target applied to a defined set of permit types (per permittypes.xlsx).</t>
  </si>
  <si>
    <t>Composite Priority</t>
  </si>
  <si>
    <t>Weighted blend of Governance-risk, Latency (tail), Backlog, and Scale. Default weighting is governance-first to fit Step-1 GOVERN logic. Weights are adjustable on TAB 4.</t>
  </si>
  <si>
    <t>Weighting rationale (Table B)</t>
  </si>
  <si>
    <t>Governance-risk 35%</t>
  </si>
  <si>
    <t>Highest weight: the binding risk is the AGENCY defaulting into an unreviewed issuance on a statutory clock (180-day Energy, 90-day Target90). This is the most defensible place to point AI under a governance-first framework.</t>
  </si>
  <si>
    <t>Latency / tail 25%</t>
  </si>
  <si>
    <t>Where applicants actually wait longest (share over the statutory window), measured on the tail rather than a censored average.</t>
  </si>
  <si>
    <t>Backlog 25%</t>
  </si>
  <si>
    <t>Current stuck queue. Form-level only (see caveat); do not sum backlog across action rows of the same form.</t>
  </si>
  <si>
    <t>Scale 15%</t>
  </si>
  <si>
    <t>Log-scaled volume. Lowest weight because raw volume is dominated by high-throughput, low-complexity transactions where AI leverage is smallest.</t>
  </si>
  <si>
    <t>Reading Table B safely</t>
  </si>
  <si>
    <t>Caveat</t>
  </si>
  <si>
    <t>Low-volume rows (n&lt;10) can score high on latency from a tiny sample (e.g., one 250-day permit reads as '100% over 180 days'); they are flagged in the Notes column. Pools Change-Order tops the list on backlog alone — that backlog is a non-comparable unit (see TAB 2 #6 / TAB 5 #8) and is flagged inline. Use the score to surface candidates, then read the Notes and Gaps before concluding.</t>
  </si>
  <si>
    <t>Source Files — provenance for every number in this workbook</t>
  </si>
  <si>
    <t>Source file</t>
  </si>
  <si>
    <t>Tab(s)</t>
  </si>
  <si>
    <t>Rows</t>
  </si>
  <si>
    <t>Coverage / window</t>
  </si>
  <si>
    <t>What it contains</t>
  </si>
  <si>
    <t>Role in this model</t>
  </si>
  <si>
    <t>Reliability</t>
  </si>
  <si>
    <t>avgprocessingdayslast4years.xlsx</t>
  </si>
  <si>
    <t>Reference Sheet</t>
  </si>
  <si>
    <t>235,009</t>
  </si>
  <si>
    <t>Received 4/1/2022–4/1/2026</t>
  </si>
  <si>
    <t>Individual COMPLETED submission records: program, form, action, dates, processing days, lifecycle status.</t>
  </si>
  <si>
    <t>Raw log behind Table B volume + latency. The system-of-record extract.</t>
  </si>
  <si>
    <t>Authoritative for completed work, but COMPLETED-only (censored) and contains duplicates — see TAB 2.</t>
  </si>
  <si>
    <t>Pivot Table</t>
  </si>
  <si>
    <t>171</t>
  </si>
  <si>
    <t>2022–2026</t>
  </si>
  <si>
    <t>Average processing days by program/year (received-year basis).</t>
  </si>
  <si>
    <t>Shows the (misleading) received-year trend.</t>
  </si>
  <si>
    <t>Inherits censoring bias — do not use for cycle time.</t>
  </si>
  <si>
    <t>annual volume.xlsx</t>
  </si>
  <si>
    <t>in</t>
  </si>
  <si>
    <t>1,113</t>
  </si>
  <si>
    <t>2024–2025 annual</t>
  </si>
  <si>
    <t>Annual volume by program/category/form/action.</t>
  </si>
  <si>
    <t>Independent volume cross-check (Table B col G).</t>
  </si>
  <si>
    <t>Reliable as a second volume source; grain differs slightly from the log.</t>
  </si>
  <si>
    <t>backlog.xlsx</t>
  </si>
  <si>
    <t>693</t>
  </si>
  <si>
    <t>Snapshot</t>
  </si>
  <si>
    <t>Backlog counts by form, split across action/category with partial nulls.</t>
  </si>
  <si>
    <t>Backlog figures in Table B (col M).</t>
  </si>
  <si>
    <t>Inconsistent grain; 63% of total sits in both-null rows. Form-level only — see TAB 2 &amp; 5.</t>
  </si>
  <si>
    <t>backlogSinceJuly1.xlsx</t>
  </si>
  <si>
    <t>308</t>
  </si>
  <si>
    <t>Since Jul 1 (recent)</t>
  </si>
  <si>
    <t>Recent backlog slice WITH statutory-deadline flags: Target90, Energy 3309, CZC 3931, Public Notice.</t>
  </si>
  <si>
    <t>Source of the Energy-3309 (EIP) and Public-Notice flags in Table B.</t>
  </si>
  <si>
    <t>Only place EIP is tagged, and only as 'can be' — eligibility, not actuals.</t>
  </si>
  <si>
    <t>permittypes.xlsx</t>
  </si>
  <si>
    <t>Universe / Distinct</t>
  </si>
  <si>
    <t>3,744 / 471</t>
  </si>
  <si>
    <t>Reference</t>
  </si>
  <si>
    <t>Permit-type catalog with Target90, CZC, Pre-Application Meeting, PTA flags by category.</t>
  </si>
  <si>
    <t>Source of Target90 + CZC flags in Table B (joined by category).</t>
  </si>
  <si>
    <t>Reliable for type-level flags; Energy 3309 &amp; Public Notice columns are blank here.</t>
  </si>
  <si>
    <t>Quadrant Breakdown.xlsx</t>
  </si>
  <si>
    <t>Sheet1 + 4 tabs</t>
  </si>
  <si>
    <t>69 actions</t>
  </si>
  <si>
    <t>2024–2025</t>
  </si>
  <si>
    <t>The analyst's hand-built quadrant findings (volume × processing time).</t>
  </si>
  <si>
    <t>Reproduced as Table A (as presented).</t>
  </si>
  <si>
    <t>Hand-built off-system; volumes ~accurate, processing-day values understated 2–4.6× — see TAB 2.</t>
  </si>
  <si>
    <t>Archive.zip</t>
  </si>
  <si>
    <t>—</t>
  </si>
  <si>
    <t>26 MB archive; could be the system-of-record export.</t>
  </si>
  <si>
    <t>Potential source to resolve backlog grain &amp; EIP tagging.</t>
  </si>
  <si>
    <t>UNREADABLE (not a valid zip / not fully synced). Flagged on TAB 5.</t>
  </si>
  <si>
    <t>Data Quality Log — issues found on first-principles review</t>
  </si>
  <si>
    <t>Severity: CRITICAL = invalidates the ranking as built · SERIOUS = materially distorts · MODERATE = caution. All evidence computed directly from the source files.</t>
  </si>
  <si>
    <t>#</t>
  </si>
  <si>
    <t>Severity</t>
  </si>
  <si>
    <t>Issue</t>
  </si>
  <si>
    <t>Evidence (computed)</t>
  </si>
  <si>
    <t>Source</t>
  </si>
  <si>
    <t>Why it matters for IDENTIFY</t>
  </si>
  <si>
    <t>CRITICAL</t>
  </si>
  <si>
    <t>Processing time is right-censored (completed-only)</t>
  </si>
  <si>
    <t>Mean by RECEIVED year falls 74.7→8.0 (2022→26); by COMPLETION year it is 10.3→26.3→38.1→31.8→25.2 (no improvement). 25,590 'Completed' rows have no completion date.</t>
  </si>
  <si>
    <t>avgprocessingdays… / Reference Sheet</t>
  </si>
  <si>
    <t>Averages understate true latency; the slow, stuck cases that should drive AI targeting are missing from the data.</t>
  </si>
  <si>
    <t>Backlog invisible to the speed data</t>
  </si>
  <si>
    <t>Every row Status='Completed'. The ~27k pending items are excluded by construction.</t>
  </si>
  <si>
    <t>Reference Sheet vs backlog.xlsx</t>
  </si>
  <si>
    <t>The one file that measures speed cannot see the backlog — so 'fast' programs may simply have their slow cases still pending.</t>
  </si>
  <si>
    <t>8.5% exact duplicate rows; 14.5% in Onsite Wastewater</t>
  </si>
  <si>
    <t>19,918 fully-identical rows; 98% are no-completion-date records; OSWW 105,747→90,367 unique.</t>
  </si>
  <si>
    <t>Inflates volume for the #1-ranked program; any volume-based ranking is biased toward OSWW.</t>
  </si>
  <si>
    <t>SERIOUS</t>
  </si>
  <si>
    <t>Analyst 'Average Working Days' understated 2–4.6×</t>
  </si>
  <si>
    <t>Coastal SW NOI: quad 58 vs raw median 242 / mean 269. Title V Renewal: quad 152 vs 320 / 341. Values match neither raw mean nor median.</t>
  </si>
  <si>
    <t>Quadrant Breakdown vs Reference Sheet</t>
  </si>
  <si>
    <t>Ranking by quadrant days under-prioritizes exactly the slowest, highest-exposure permits.</t>
  </si>
  <si>
    <t>Backlog file has no consistent grain</t>
  </si>
  <si>
    <t>192 of 693 rows have BOTH action &amp; category null, holding 17,272 of 27,234 (63%). Same form split across rows with partial nulls.</t>
  </si>
  <si>
    <t>Total backlog (27,234) is an unverified upper bound; cannot be cleanly allocated to a permit action.</t>
  </si>
  <si>
    <t>Largest 'backlog' is a unit mismatch</t>
  </si>
  <si>
    <t>Pools Change-Order backlog 7,485 &gt; total Pools submissions over 4 yrs (~4,120). Change orders are project sub-items, a different unit.</t>
  </si>
  <si>
    <t>backlog.xlsx vs Reference Sheet</t>
  </si>
  <si>
    <t>Pools cannot be ranked against submission-based programs on these files; prior 'Pools is biggest backlog' is non-comparable.</t>
  </si>
  <si>
    <t>Record-type contamination</t>
  </si>
  <si>
    <t>Status.1 carries permit-lifecycle states: In Effect 142,336; Superseded 63,075; Expired 20,064. This is a permit-record extract, not a clean application-event log.</t>
  </si>
  <si>
    <t>Superseded versions can repeat an action, distorting volume and averages for permit-change-heavy programs.</t>
  </si>
  <si>
    <t>MODERATE</t>
  </si>
  <si>
    <t>31.7% null Request Action Type</t>
  </si>
  <si>
    <t>74,558 of 235,009 rows lack the action type used to join to volume/quadrant.</t>
  </si>
  <si>
    <t>A third of records cannot be matched to an action cleanly; weakens action-level joins.</t>
  </si>
  <si>
    <t>'Working Days' is actually calendar days</t>
  </si>
  <si>
    <t>Stored Processing Days equals (completed − received) exactly; 0 rows deviate.</t>
  </si>
  <si>
    <t>Mislabel; 90/180-day statutory clocks are calendar, so this is consistent for clocks but not for staff effort.</t>
  </si>
  <si>
    <t>Extreme right-skew makes any single average misleading</t>
  </si>
  <si>
    <t>Median 4.5d, mean 29.7, p95 128, p99 604, max 1,449, skew 6.1; 28% clear in &lt;1 day.</t>
  </si>
  <si>
    <t>Use tail mass (% over 90/180d), not an average — which is what Table B does.</t>
  </si>
  <si>
    <t>EIP tagged only as 'can be', recent slice only</t>
  </si>
  <si>
    <t>Energy 3309 blank in permittypes; in backlogSinceJuly1 it is 'can be' on 34 rows (~1,020 items).</t>
  </si>
  <si>
    <t>permittypes / backlogSinceJuly1</t>
  </si>
  <si>
    <t>We can flag energy-ELIGIBLE types, but cannot measure actual EIP volume, cycle time, or 180-day default frequency.</t>
  </si>
  <si>
    <t>Quadrant not reproducible from sources</t>
  </si>
  <si>
    <t>Quadrant program names ('BRLS Onsite Wastewater') differ from the clean vocabulary in the log/volume files ('BEHS - Onsite Wastewater').</t>
  </si>
  <si>
    <t>Quadrant vs sources</t>
  </si>
  <si>
    <t>Confirms the quadrant was retyped by hand, not joined to the data — explains the drift.</t>
  </si>
  <si>
    <t>TABLE A — Permit data AS PRESENTED by the analyst (Quadrant Breakdown.xlsx · Sheet1, reproduced unchanged)</t>
  </si>
  <si>
    <t>Shown for comparison only. Volumes are roughly accurate; 'Average Working Days' is understated 2–4.6× and is calendar (not working) days; backlog captured here (≈2,142) is ~8% of the true ~27,234. See TAB 2.</t>
  </si>
  <si>
    <t>Program</t>
  </si>
  <si>
    <t>Action Type</t>
  </si>
  <si>
    <t>Form Type</t>
  </si>
  <si>
    <t>Quadrant</t>
  </si>
  <si>
    <t>Average Working Days</t>
  </si>
  <si>
    <t>Volume (2024-2025)</t>
  </si>
  <si>
    <t>Backlog Count</t>
  </si>
  <si>
    <t>Delays Drivers?</t>
  </si>
  <si>
    <t># of Workflow Task</t>
  </si>
  <si>
    <t># of Hand offs</t>
  </si>
  <si>
    <t># of Program staff dedicated</t>
  </si>
  <si>
    <t>Noteworthy Findings:</t>
  </si>
  <si>
    <t>Renewal Cycle</t>
  </si>
  <si>
    <t>BRLS- Onsite Wastewater</t>
  </si>
  <si>
    <t>Conversion</t>
  </si>
  <si>
    <t xml:space="preserve">Permit Change </t>
  </si>
  <si>
    <t>HVLP</t>
  </si>
  <si>
    <t>Scheduling Site Visit</t>
  </si>
  <si>
    <t xml:space="preserve">Depends on Regional Office </t>
  </si>
  <si>
    <t>Operating Permit, can be inspected and issued same day</t>
  </si>
  <si>
    <t>Quadrant Breakdown.xlsx / Sheet1</t>
  </si>
  <si>
    <t xml:space="preserve">BRLS Onsite Wastewater </t>
  </si>
  <si>
    <t>Option 1</t>
  </si>
  <si>
    <t xml:space="preserve">Application </t>
  </si>
  <si>
    <t>HVHP</t>
  </si>
  <si>
    <t>Potential follow-up inspection needed</t>
  </si>
  <si>
    <t>LWM - Infectious Waste</t>
  </si>
  <si>
    <t>IW Renewal Registration</t>
  </si>
  <si>
    <t>None observed</t>
  </si>
  <si>
    <t xml:space="preserve">Automate Potential </t>
  </si>
  <si>
    <t>3yr</t>
  </si>
  <si>
    <t>Air- Asbestos</t>
  </si>
  <si>
    <t>Asbestos Renewal Individual Permit</t>
  </si>
  <si>
    <t>annual</t>
  </si>
  <si>
    <t>Asbestos Project Revision</t>
  </si>
  <si>
    <t xml:space="preserve">BOW- Dams </t>
  </si>
  <si>
    <t>New Use</t>
  </si>
  <si>
    <t xml:space="preserve">Lab Certification </t>
  </si>
  <si>
    <t>Lab Cert Modification</t>
  </si>
  <si>
    <t>Water- Nav Waters</t>
  </si>
  <si>
    <t>401 WQC New</t>
  </si>
  <si>
    <t>EIP, ACOE, Public Notice(30), CZC</t>
  </si>
  <si>
    <t>doesn't expire</t>
  </si>
  <si>
    <t>Water - UIC</t>
  </si>
  <si>
    <t>UIC Construction</t>
  </si>
  <si>
    <t>doesn't renew</t>
  </si>
  <si>
    <t xml:space="preserve">Water - Groundwater Withdrawl </t>
  </si>
  <si>
    <t xml:space="preserve">New Use </t>
  </si>
  <si>
    <t>EIP</t>
  </si>
  <si>
    <t>Water - Agriculture</t>
  </si>
  <si>
    <t>AGWST - New Manure Broker</t>
  </si>
  <si>
    <t>AGWST - Stacking Shed Addtion</t>
  </si>
  <si>
    <t xml:space="preserve">GWW Renewal </t>
  </si>
  <si>
    <t>Permit Change</t>
  </si>
  <si>
    <t>5yrs</t>
  </si>
  <si>
    <t xml:space="preserve">Labcert Renewal </t>
  </si>
  <si>
    <t xml:space="preserve">Scheduling Site Visit </t>
  </si>
  <si>
    <t>3yrs</t>
  </si>
  <si>
    <t xml:space="preserve">Water - Stormwater </t>
  </si>
  <si>
    <t>Termination</t>
  </si>
  <si>
    <t>WW Review, Regional Review, ENF Review</t>
  </si>
  <si>
    <t>1/6 potential</t>
  </si>
  <si>
    <t>if no review required, can be processed same day</t>
  </si>
  <si>
    <t>none</t>
  </si>
  <si>
    <t>Water- Shellfish</t>
  </si>
  <si>
    <t>Shellfish Permit - Renewal</t>
  </si>
  <si>
    <t>Can be processed same day</t>
  </si>
  <si>
    <t>Water - Nav Waters</t>
  </si>
  <si>
    <t>Nav New</t>
  </si>
  <si>
    <t xml:space="preserve">Water- Wastewater </t>
  </si>
  <si>
    <t>Terminations</t>
  </si>
  <si>
    <t>WW Review, Regional Review, ENF Review, Closure Verification Inspections?</t>
  </si>
  <si>
    <t>Permit Writer Specific</t>
  </si>
  <si>
    <t>Shares the same workflow as SW Terminations but SW is for coverage of construction actitivies, WW is termination of NPDES/ND permit 15 days is usually requested for review due date, majority of task are assigned out by admin</t>
  </si>
  <si>
    <t>SW NOT Construction Activities</t>
  </si>
  <si>
    <t xml:space="preserve">LWM - Solid Waste </t>
  </si>
  <si>
    <t>WWC Modification (Remove Flow)</t>
  </si>
  <si>
    <t>Modification</t>
  </si>
  <si>
    <t xml:space="preserve">SW NOT Industrial Activities </t>
  </si>
  <si>
    <t xml:space="preserve"> Waste Tire Hauler Facility Termination</t>
  </si>
  <si>
    <t xml:space="preserve">BCM- Critical Area </t>
  </si>
  <si>
    <t>Tidelands Minor Amendment</t>
  </si>
  <si>
    <t xml:space="preserve">Air </t>
  </si>
  <si>
    <t>Air- Exemption</t>
  </si>
  <si>
    <t>Sector Specific</t>
  </si>
  <si>
    <t xml:space="preserve">Additional Parm Certification </t>
  </si>
  <si>
    <t>LVHP</t>
  </si>
  <si>
    <t>LWM -Solid Waste</t>
  </si>
  <si>
    <t xml:space="preserve">Air- Terminate Permit </t>
  </si>
  <si>
    <t>LWM - Mines</t>
  </si>
  <si>
    <t>Mines - Termination</t>
  </si>
  <si>
    <t>WWC DRP Construction (Remove Flow )</t>
  </si>
  <si>
    <t>WWC Gravity Sewer, No Pump St (Remove Flow)</t>
  </si>
  <si>
    <t>Capacity Review, COG Approval(can be internal), Nav Waters Review</t>
  </si>
  <si>
    <t>majority of task are assigned out by admin</t>
  </si>
  <si>
    <t>will expire 3yrs after issuance if construction is not complete</t>
  </si>
  <si>
    <t>BCM- Coastal Zone Consistency</t>
  </si>
  <si>
    <t>State CZC Greater Than One Acre</t>
  </si>
  <si>
    <t xml:space="preserve">Service Request </t>
  </si>
  <si>
    <t xml:space="preserve">EIP, PN(10), Receiving adjacent state permit </t>
  </si>
  <si>
    <t xml:space="preserve">CZC review is based on the decision/issuance of another state permit </t>
  </si>
  <si>
    <t xml:space="preserve">Critical Line Delination </t>
  </si>
  <si>
    <t>EIP,  CAL Site Visit</t>
  </si>
  <si>
    <t xml:space="preserve">SW Construction MS4 NOI Non- Coastal </t>
  </si>
  <si>
    <t>1(11 processing comments)</t>
  </si>
  <si>
    <t>Program requesting MS4 approval w/app, package form with several documents to review</t>
  </si>
  <si>
    <t>GWW Major Modification</t>
  </si>
  <si>
    <t xml:space="preserve">LMW - Mines </t>
  </si>
  <si>
    <t xml:space="preserve">Mines - General Information Change </t>
  </si>
  <si>
    <t xml:space="preserve">Air- Site Name Change </t>
  </si>
  <si>
    <t xml:space="preserve">BRLS - Onsite Wastewater </t>
  </si>
  <si>
    <t>Option #3</t>
  </si>
  <si>
    <t>LWM- Mines</t>
  </si>
  <si>
    <t>Mines Minor Mod</t>
  </si>
  <si>
    <t xml:space="preserve">NPDES, CZC, Financial Assurance </t>
  </si>
  <si>
    <t xml:space="preserve">LWM - UST </t>
  </si>
  <si>
    <t>Air -Title V New</t>
  </si>
  <si>
    <t xml:space="preserve">Air- Title V Minor Modification </t>
  </si>
  <si>
    <t>LF Class 2 New</t>
  </si>
  <si>
    <t xml:space="preserve">Title V Renewal </t>
  </si>
  <si>
    <t>Potential Modeling, Potential Public Notice(30) and EPA Review(45), Scheduling Site Visit, Potential Internal Review(15ppl)</t>
  </si>
  <si>
    <t>Air</t>
  </si>
  <si>
    <t xml:space="preserve">Air - Transfer of Ownership </t>
  </si>
  <si>
    <t xml:space="preserve">Water - Agriculture </t>
  </si>
  <si>
    <t>AGWST - Manure Broker Permit Renewal</t>
  </si>
  <si>
    <t xml:space="preserve">SW Construction NOI Modification - Coastal </t>
  </si>
  <si>
    <t>AGWST - Integrator</t>
  </si>
  <si>
    <t xml:space="preserve">Beachfront Major Action </t>
  </si>
  <si>
    <t xml:space="preserve">LWM - Mines </t>
  </si>
  <si>
    <t xml:space="preserve">Mines - Transfer of Ownership </t>
  </si>
  <si>
    <t xml:space="preserve">Mines - Substantial Mod </t>
  </si>
  <si>
    <t>SW Construction SCDOT NOT Non- Coastal</t>
  </si>
  <si>
    <t xml:space="preserve">WW SW- NOI Industrial </t>
  </si>
  <si>
    <t>Water - Dams</t>
  </si>
  <si>
    <t xml:space="preserve"> Dams Repair </t>
  </si>
  <si>
    <t xml:space="preserve">SW Construction NOI Coastal </t>
  </si>
  <si>
    <t>SW Construction Notifcation Autocoverage - Coastal</t>
  </si>
  <si>
    <t xml:space="preserve">Dam Construction </t>
  </si>
  <si>
    <t xml:space="preserve">SW Construction SCDOT NOI Non- Coastal - Tech Review </t>
  </si>
  <si>
    <t xml:space="preserve">Water - UIC </t>
  </si>
  <si>
    <t xml:space="preserve">UIC Operation </t>
  </si>
  <si>
    <t xml:space="preserve">BEHS - Onsite Wastewater </t>
  </si>
  <si>
    <t xml:space="preserve">Option #4 </t>
  </si>
  <si>
    <t>Air - Title V Significant Modifcation</t>
  </si>
  <si>
    <t>LF Class 2 Major Modification</t>
  </si>
  <si>
    <t xml:space="preserve">Tidelands Major Action </t>
  </si>
  <si>
    <t>BRLS - Oil and Gas Terminal Facilties</t>
  </si>
  <si>
    <t xml:space="preserve">Reissuance </t>
  </si>
  <si>
    <t xml:space="preserve">Beachfront Major Amendment </t>
  </si>
  <si>
    <t xml:space="preserve">Initial Certification </t>
  </si>
  <si>
    <t>Option #5</t>
  </si>
  <si>
    <t>AGWST - Swine Permit Reissuance</t>
  </si>
  <si>
    <t>TABLE B — Permit actions RE-WEIGHTED from the raw log (de-duplicated; tail-latency; statutory-deadline flags; governance-first score)</t>
  </si>
  <si>
    <t>WEIGHTS (edit to re-rank →)</t>
  </si>
  <si>
    <t>Composite Priority = Gov×wG + Latency×wL + Backlog×wB + Scale×wS, each component scored 0–100. Default weighting is governance-first (Step-1 GOVERN). Blank flag/'' = not in source (gap). Backlog is FORM-LEVEL — shared across a form's action rows; do not sum.</t>
  </si>
  <si>
    <t>Governance-risk</t>
  </si>
  <si>
    <t>Latency / tail</t>
  </si>
  <si>
    <t>Backlog</t>
  </si>
  <si>
    <t>Scale (log volume)</t>
  </si>
  <si>
    <t>Sum (must = 1.00)</t>
  </si>
  <si>
    <t>Rank</t>
  </si>
  <si>
    <t>Form Name</t>
  </si>
  <si>
    <t>Request Action Type</t>
  </si>
  <si>
    <t>Permit Category</t>
  </si>
  <si>
    <t>Vol 24-25 (dedup)</t>
  </si>
  <si>
    <t>Annual Vol (indep)</t>
  </si>
  <si>
    <t>n w/ days</t>
  </si>
  <si>
    <t>Median days</t>
  </si>
  <si>
    <t>Mean days</t>
  </si>
  <si>
    <t>% &gt;90d</t>
  </si>
  <si>
    <t>% &gt;180d</t>
  </si>
  <si>
    <t>Backlog (form-level)</t>
  </si>
  <si>
    <t>Target90</t>
  </si>
  <si>
    <t>Energy 3309 (EIP)</t>
  </si>
  <si>
    <t>CZC 3931</t>
  </si>
  <si>
    <t>Public Notice</t>
  </si>
  <si>
    <t>Scale score</t>
  </si>
  <si>
    <t>Latency score</t>
  </si>
  <si>
    <t>Backlog score</t>
  </si>
  <si>
    <t>Gov score</t>
  </si>
  <si>
    <t>COMPOSITE PRIORITY</t>
  </si>
  <si>
    <t>Notes / gap flags</t>
  </si>
  <si>
    <t>Air Permitting - Construction Permit Package</t>
  </si>
  <si>
    <t>Air - Expedited PSD Class I</t>
  </si>
  <si>
    <t>AIR-Construction Permit</t>
  </si>
  <si>
    <t>Yes</t>
  </si>
  <si>
    <t>No</t>
  </si>
  <si>
    <t>no backlog match; low volume (n&lt;10) — latency/score unreliable</t>
  </si>
  <si>
    <t>Pools</t>
  </si>
  <si>
    <t>Pools - Change Order Request Form</t>
  </si>
  <si>
    <t>WTR-Recreational Water Operation (Pools)</t>
  </si>
  <si>
    <t>action type missing in log; backlog &gt; submission volume — likely unit/grain mismatch; verify</t>
  </si>
  <si>
    <t>Lab Certification</t>
  </si>
  <si>
    <t>Lab Cert - Modification</t>
  </si>
  <si>
    <t>LABCERT MODIFICATIONS</t>
  </si>
  <si>
    <t>LAB-Laboratory Certification</t>
  </si>
  <si>
    <t>no backlog match; Target90 unflagged</t>
  </si>
  <si>
    <t>Dams Permit Request - Design Change</t>
  </si>
  <si>
    <t>WTR-Dams and Reservoirs Safety</t>
  </si>
  <si>
    <t>action type missing in log; no annual-vol match; no backlog match; low volume (n&lt;10) — latency/score unreliable</t>
  </si>
  <si>
    <t>Air - Synthetic Minor</t>
  </si>
  <si>
    <t>BEHS - Oil and Gas Terminal Facilities</t>
  </si>
  <si>
    <t>Terminal Facility Registration Certificate - Department Initiated Action (DIA)</t>
  </si>
  <si>
    <t>Reissuance</t>
  </si>
  <si>
    <t>BEHS-Oil and Gas Terminal Facil.</t>
  </si>
  <si>
    <t>Air - PSD No BACT Review</t>
  </si>
  <si>
    <t>Air - PSD Non Class I</t>
  </si>
  <si>
    <t>Water - Stormwater</t>
  </si>
  <si>
    <t>Stormwater Notice of Intent (NOI) - Construction Activities (D 2617)</t>
  </si>
  <si>
    <t>SW Construction NOI Coastal</t>
  </si>
  <si>
    <t>WTR-Stormwater NOI - Construction</t>
  </si>
  <si>
    <t>Target90 unflagged; backlog &gt; submission volume — likely unit/grain mismatch; verify</t>
  </si>
  <si>
    <t>SW Construction MS4 NOI Coastal </t>
  </si>
  <si>
    <t>BEHS - Onsite Wastewater</t>
  </si>
  <si>
    <t>Department Initiated Permit Action Form (OSWW) - DIA (Internal/Renewal)</t>
  </si>
  <si>
    <t>BEHS - OSWW Contractors</t>
  </si>
  <si>
    <t>action type missing in log; no backlog match</t>
  </si>
  <si>
    <t>Water - Shellfish</t>
  </si>
  <si>
    <t>Shellfish - Application for Shellfish Sanitation Program Permits and Certificates (D-1957) - Renewal or Modification</t>
  </si>
  <si>
    <t>Shellfish Certification</t>
  </si>
  <si>
    <t>no backlog match</t>
  </si>
  <si>
    <t>Underground Injection Control - Application for Permit Modification or Renewal (D-2502)</t>
  </si>
  <si>
    <t>WTR - Underground Injection Operating</t>
  </si>
  <si>
    <t>OSWW License to Clean or Construct - Termination/Closure</t>
  </si>
  <si>
    <t>OSWW License to Clean or Construct General Information Change</t>
  </si>
  <si>
    <t>Water - Wastewater</t>
  </si>
  <si>
    <t>Wastewater Application ND Industrial - New</t>
  </si>
  <si>
    <t>LAND APPL NEW</t>
  </si>
  <si>
    <t>WTR-Land Application</t>
  </si>
  <si>
    <t>low volume (n&lt;10) — latency/score unreliable; backlog &gt; submission volume — likely unit/grain mismatch; verify</t>
  </si>
  <si>
    <t>Air - Minor NSR</t>
  </si>
  <si>
    <t>Pools - Apply for Construction Permit Extension Modification DNU</t>
  </si>
  <si>
    <t>action type missing in log; no processing-day data; no backlog match</t>
  </si>
  <si>
    <t>Water - Navigable Waters and Water Quality Certification</t>
  </si>
  <si>
    <t>401 WQC Application For A Federal Permit</t>
  </si>
  <si>
    <t>WQC NEW</t>
  </si>
  <si>
    <t>WTR-401 Certification</t>
  </si>
  <si>
    <t>backlog &gt; submission volume — likely unit/grain mismatch; verify</t>
  </si>
  <si>
    <t>LWM - UST - Permitting and Compliance</t>
  </si>
  <si>
    <t>LWM - UST - Permit Modification (Add, Remove, Close Tanks and/or Change of Service)</t>
  </si>
  <si>
    <t>UST-PERMIT CHANGE</t>
  </si>
  <si>
    <t>LWM - UST - Permit</t>
  </si>
  <si>
    <t>Air - Expedited Minor NSR</t>
  </si>
  <si>
    <t>BCM - Critical Area</t>
  </si>
  <si>
    <t>BCM Critical Area Permit Application-General Permit for Stormwater Conveyance Systems</t>
  </si>
  <si>
    <t>Tidelands Minor Action</t>
  </si>
  <si>
    <t>BCM-General Critical Area Permit</t>
  </si>
  <si>
    <t>no annual-vol match; no backlog match; low volume (n&lt;10) — latency/score unreliable</t>
  </si>
  <si>
    <t>Air - Construction Permit</t>
  </si>
  <si>
    <t>Air - Expedited Synthetic Minor</t>
  </si>
  <si>
    <t>Shellfish - Application for Shellfish Sanitation Program Permits and Certificates (D-1957) - New</t>
  </si>
  <si>
    <t>Shellfish Permit - New</t>
  </si>
  <si>
    <t>Air - Construction Permit (Modification)</t>
  </si>
  <si>
    <t>UST-PERMIT TO INSTALL-GENERAL</t>
  </si>
  <si>
    <t>Wastewater - Construction Permit Application Wastewater Facilities - Industrial (D-1970)</t>
  </si>
  <si>
    <t>WWC PRETREATMENT - NEW (REMOVE FLOW)</t>
  </si>
  <si>
    <t>WTR-Wastewater Construction Permit</t>
  </si>
  <si>
    <t>LWM - Solid Waste</t>
  </si>
  <si>
    <t>LDP Modification - Non-MSW</t>
  </si>
  <si>
    <t>LWM-SW Class 2 Landfill</t>
  </si>
  <si>
    <t>no backlog match; Target90 unflagged; low volume (n&lt;10) — latency/score unreliable</t>
  </si>
  <si>
    <t>Air - Title V Renewal</t>
  </si>
  <si>
    <t>Air - GTV Renewal</t>
  </si>
  <si>
    <t>AIR-General Title V Operating Permit</t>
  </si>
  <si>
    <t>Air - OP Issued</t>
  </si>
  <si>
    <t>AIR-Conditional Major</t>
  </si>
  <si>
    <t>Navigable Waters - Permit Application for Construction in Navigable Waters (D-2065)</t>
  </si>
  <si>
    <t>WTR-Navigable Waters GP authorization</t>
  </si>
  <si>
    <t>action type missing in log</t>
  </si>
  <si>
    <t>WWC WWTP UPGRADE(QUALITY) (NO FLOW CHANGE)</t>
  </si>
  <si>
    <t>Wastewater - Department Initiated Permit Action Form - (Internal)</t>
  </si>
  <si>
    <t>NPDES GENERAL REISSUE</t>
  </si>
  <si>
    <t>WTR-NPDES Certificate of Coverage</t>
  </si>
  <si>
    <t>ANNUAL RENEWAL</t>
  </si>
  <si>
    <t>Wastewater - Construction Permit Application Wastewater Facilities - Industrial (D-1970) - Permit Change</t>
  </si>
  <si>
    <t>WWC MODIFICATION (NO FLOW CHANGE)</t>
  </si>
  <si>
    <t>BCM Critical Area Permit Application</t>
  </si>
  <si>
    <t>Tidelands Major Action</t>
  </si>
  <si>
    <t>BCM-Direct Critical Area Permit</t>
  </si>
  <si>
    <t>no annual-vol match; backlog &gt; submission volume — likely unit/grain mismatch; verify</t>
  </si>
  <si>
    <t>Water - Surface Water Withdrawal</t>
  </si>
  <si>
    <t>Surface Water Withdrawal -  Permit Transfer of Ownership Application</t>
  </si>
  <si>
    <t>WTR-Surface Water Withdrawal Existing Permit</t>
  </si>
  <si>
    <t>action type missing in log; no backlog match; low volume (n&lt;10) — latency/score unreliable</t>
  </si>
  <si>
    <t>Wastewater - Application for Coverage: General Construction Permit for Wastewater Collection Systems (Form D-1794) - Renewal</t>
  </si>
  <si>
    <t>WTR-Construction Certificate of Coverage</t>
  </si>
  <si>
    <t>Wastewater Extension for Construction Permitting</t>
  </si>
  <si>
    <t>WWC EXTENSION</t>
  </si>
  <si>
    <t>Navigable Waters -  Permit Transfer of Ownership Application</t>
  </si>
  <si>
    <t>Construction &amp; Demolition Debris Recycling Facility, Processing Facility, or Transfer Station Modification/Termination</t>
  </si>
  <si>
    <t>TRANSFER STATION MODIFICATION</t>
  </si>
  <si>
    <t>LWM-SW Transfer Station</t>
  </si>
  <si>
    <t>low volume (n&lt;10) — latency/score unreliable</t>
  </si>
  <si>
    <t>Wastewater - Construction Permit Application Wastewater Facilities - State Revolving Fund (SRF) (D-1970)</t>
  </si>
  <si>
    <t>Flow Withdrawn By Request</t>
  </si>
  <si>
    <t>Air Permitting - Construction Permit</t>
  </si>
  <si>
    <t>Air - No Clock</t>
  </si>
  <si>
    <t>AIR-State Operating Permit</t>
  </si>
  <si>
    <t>Agriculture Swine Facility Application (Form D-2517) - Renewal</t>
  </si>
  <si>
    <t>AGWST-REISSUANCE OF SWINE PERM</t>
  </si>
  <si>
    <t>WTR-Agricultural Facility (Swine)</t>
  </si>
  <si>
    <t>LWM - UST - Remediation</t>
  </si>
  <si>
    <t>UST Site Rehabilitation Contractor Certification - Modification, Decertification, or Recertification</t>
  </si>
  <si>
    <t>UST -  UCC Certification</t>
  </si>
  <si>
    <t>Navigable Waters - Master General Permit Issuance/Reissuance (DIA)</t>
  </si>
  <si>
    <t>FIVE YEAR RENEWAL</t>
  </si>
  <si>
    <t>Air - Department Initiated Cancellation - Internal</t>
  </si>
  <si>
    <t>SW Construction NOI Non-Coastal</t>
  </si>
  <si>
    <t>NAV NEW</t>
  </si>
  <si>
    <t>OSWW (Septic Tank) - Application to Construct an Individual Sewage Treatment and Disposal System (D-1740)</t>
  </si>
  <si>
    <t>Option #1</t>
  </si>
  <si>
    <t>BEHS - OSWW Permit</t>
  </si>
  <si>
    <t>Dams Permit Request - Extension</t>
  </si>
  <si>
    <t>BCM Critical Area Activities</t>
  </si>
  <si>
    <t>BCM Critical Area Request to Amend Permit</t>
  </si>
  <si>
    <t>no annual-vol match; low volume (n&lt;10) — latency/score unreliable; backlog &gt; submission volume — likely unit/grain mismatch; verify</t>
  </si>
  <si>
    <t>no annual-vol match</t>
  </si>
  <si>
    <t>Air - Asbestos</t>
  </si>
  <si>
    <t>Asbestos - Project Application - Demolition with Asbestos Revision</t>
  </si>
  <si>
    <t>Asbestos New</t>
  </si>
  <si>
    <t>AIR-Asbestos Removal</t>
  </si>
  <si>
    <t>Option #2</t>
  </si>
  <si>
    <t>SW Construction MS4 NOI Non-Coastal</t>
  </si>
  <si>
    <t>Dams Permit Request - Termination</t>
  </si>
  <si>
    <t>WWC NEW WWTP</t>
  </si>
  <si>
    <t>Pools - Application to Construct a Recreational Water Facility</t>
  </si>
  <si>
    <t>WTR-Recreational Water Construction (Pools)</t>
  </si>
  <si>
    <t>Department Initiated Permit Action Form (IW) - DIA (Internal)</t>
  </si>
  <si>
    <t>LWM-IW Generator</t>
  </si>
  <si>
    <t>AIR-General State Operating Permit</t>
  </si>
  <si>
    <t>AIR-Title V Operating Permit</t>
  </si>
  <si>
    <t>WWC PRETREATMENT - UPGRADE (NO FLOW CHANGE)</t>
  </si>
  <si>
    <t>WWC GRAVITY SEWER,PUMP ST,FM</t>
  </si>
  <si>
    <t>Air Permitting - Department Initiated Permit Action Form - Internal</t>
  </si>
  <si>
    <t>WWC PRETREATMENT - EXPANSION (REMOVE FLOW)</t>
  </si>
  <si>
    <t>WWC WWTP EXPANSION(NPDES/ND)</t>
  </si>
  <si>
    <t>Stormwater - Industrial Notice of Intent (NOI) (D 2611)</t>
  </si>
  <si>
    <t>WW SW-NOI INDUSTRIAL</t>
  </si>
  <si>
    <t>WTR-NPDES Stormwater NOI - Industrial</t>
  </si>
  <si>
    <t>Beachfront Major Action</t>
  </si>
  <si>
    <t>Wastewater Application NPDES Domestic/Municipal - Renewal</t>
  </si>
  <si>
    <t>NPDES REISSUE</t>
  </si>
  <si>
    <t>WTR-NPDES-Wastewater Individual Permit</t>
  </si>
  <si>
    <t>Air Registration - Temporary Crushing/Screening Application</t>
  </si>
  <si>
    <t>AIR-Registration</t>
  </si>
  <si>
    <t>Air - Title V</t>
  </si>
  <si>
    <t>Air - Title V New</t>
  </si>
  <si>
    <t>Critical Line Delineation</t>
  </si>
  <si>
    <t>Water - Private Wells</t>
  </si>
  <si>
    <t>Private Wells - Notice of Intent to Construct an Individual Residential Or Irrigation Well (D-3647)</t>
  </si>
  <si>
    <t>WTR-Private Well</t>
  </si>
  <si>
    <t>Water - Groundwater Withdrawal</t>
  </si>
  <si>
    <t>Groundwater Withdrawal - Application for New Permit (D-2504)</t>
  </si>
  <si>
    <t>WTR-Groundwater Withdrawal Capacity Use Area Permit</t>
  </si>
  <si>
    <t>Wastewater Application NPDES Domestic/Municipal - New</t>
  </si>
  <si>
    <t>NPDES NEW</t>
  </si>
  <si>
    <t>LWM - Tanning</t>
  </si>
  <si>
    <t>Tanning Report of Change</t>
  </si>
  <si>
    <t>Tanning Registration</t>
  </si>
  <si>
    <t>action type missing in log; no backlog match; Target90 unflagged</t>
  </si>
  <si>
    <t>OSWW Approval to Operate Request</t>
  </si>
  <si>
    <t>CONVERSION</t>
  </si>
  <si>
    <t>Application to Construct/Repair/Alter/Remove a Dam</t>
  </si>
  <si>
    <t>DAM REMOVAL</t>
  </si>
  <si>
    <t>Air - Title V Significant Modification</t>
  </si>
  <si>
    <t>Air - CM Renewal</t>
  </si>
  <si>
    <t>Wastewater NPDES/ND Industrial - Modification</t>
  </si>
  <si>
    <t>NPDES MODIFICATION</t>
  </si>
  <si>
    <t>Wastewater - Construction Permit Application Wastewater Facilities - Domestic (D-1970)</t>
  </si>
  <si>
    <t>WWC WWTP EXPANSION(NPDES/ND) (ADD FLOW)</t>
  </si>
  <si>
    <t>Surface Water Withdrawal - Department Initiated Action (DIA)</t>
  </si>
  <si>
    <t>WTR-Surface Water Withdrawal - Special Authorization</t>
  </si>
  <si>
    <t>action type missing in log; no backlog match; Target90 unflagged; low volume (n&lt;10) — latency/score unreliable</t>
  </si>
  <si>
    <t>Air - OP New</t>
  </si>
  <si>
    <t>Air Permitting - Exemption Request (Revision/Update)</t>
  </si>
  <si>
    <t>Air - Exemption</t>
  </si>
  <si>
    <t>AIR-Exemption</t>
  </si>
  <si>
    <t>Asbestos - Replace Lost License Card</t>
  </si>
  <si>
    <t>Replacement</t>
  </si>
  <si>
    <t>AIR-Asbestos License</t>
  </si>
  <si>
    <t>Asbestos - Group License - Renewal</t>
  </si>
  <si>
    <t>Asbestos Renewal</t>
  </si>
  <si>
    <t>Waste Tire Hauler Facility Termination</t>
  </si>
  <si>
    <t>LWM-SW Waste Tire Haulers</t>
  </si>
  <si>
    <t>Asbestos - Training Course License - Renewal</t>
  </si>
  <si>
    <t>AIR-Asbestos Training Course</t>
  </si>
  <si>
    <t>Wastewater Application ND Domestic - Renewal</t>
  </si>
  <si>
    <t>LAND APPL REISSUE</t>
  </si>
  <si>
    <t>Groundwater Withdrawal - Owner Information Update Form</t>
  </si>
  <si>
    <t>Stormwater Notice of Termination (NOT) - SCDOT Construction Activities</t>
  </si>
  <si>
    <t>SW Construction SCDOT NOT Non-Coastal </t>
  </si>
  <si>
    <t>WTR-Stormwater NOI - Construction DOT</t>
  </si>
  <si>
    <t>Option #4</t>
  </si>
  <si>
    <t>LWM - UST - Notification for Underground Storage Tanks Found (In Operation, No longer in Operation)</t>
  </si>
  <si>
    <t>LWM - UST - Notified Tanks</t>
  </si>
  <si>
    <t>Water Well Record D-1903</t>
  </si>
  <si>
    <t>Asbestos - Group License - Update</t>
  </si>
  <si>
    <t>Mines - General/Individual Permit Cancellation</t>
  </si>
  <si>
    <t>MINES - TERMINATION</t>
  </si>
  <si>
    <t>LWM-Mine General Permit</t>
  </si>
  <si>
    <t>BCM Permit Change Form (Amendments, Transfers, Extensions)</t>
  </si>
  <si>
    <t>Tidelands Major Amendment</t>
  </si>
  <si>
    <t>Asbestos - Temporary Storage License - Renewal</t>
  </si>
  <si>
    <t>AIR-Asbestos Temporary Storage License</t>
  </si>
  <si>
    <t>Mines - Operator General Information Change</t>
  </si>
  <si>
    <t>MINES - GENERAL INFORMATION CHANGE</t>
  </si>
  <si>
    <t>LWM-Mine Operating Permit</t>
  </si>
  <si>
    <t>Beachfront Major Amendment</t>
  </si>
  <si>
    <t>BCM-Joint Critical Area Permit</t>
  </si>
  <si>
    <t>Infectious Waste Transporter Renewal Form</t>
  </si>
  <si>
    <t>IW RENEWAL REGISTRATION</t>
  </si>
  <si>
    <t>LWM-IW Transporter</t>
  </si>
  <si>
    <t>Wastewater - Department Initiated Permit Action Form - (Internal New Application)</t>
  </si>
  <si>
    <t>General Permits (Except Pesticides)</t>
  </si>
  <si>
    <t>WTR-Satellite Sewer General Permit</t>
  </si>
  <si>
    <t>Air - Concrete Plant Construction Application</t>
  </si>
  <si>
    <t>Site Rehabilitation Contractor Certification Application (D-3499)</t>
  </si>
  <si>
    <t>CERTIFICATION</t>
  </si>
  <si>
    <t>Wastewater Notice of Intent (NOI) NPDES General Permit for Discharges from Petroleum Contaminated Groundwater - New Application</t>
  </si>
  <si>
    <t>Air - GOP New</t>
  </si>
  <si>
    <t>Groundwater Withdrawal - Department Initiated Action (DIA)</t>
  </si>
  <si>
    <t>Asbestos - Training Instructor Approval - Renewal</t>
  </si>
  <si>
    <t>AIR-Asbestos Instructor</t>
  </si>
  <si>
    <t>Stormwater - Industrial Notice of Intent Recertification (NOI) (D 2629)</t>
  </si>
  <si>
    <t>action type missing in log; Target90 unflagged</t>
  </si>
  <si>
    <t>LWM - UST - Permit to Operate (Master)</t>
  </si>
  <si>
    <t>Wastewater Satellite Sewer System Owner Notification Form (D 2614) - Permit Change Form</t>
  </si>
  <si>
    <t>WTR-Satellite Sewer Systems</t>
  </si>
  <si>
    <t>Air - Registration New</t>
  </si>
  <si>
    <t>Lab Cert - Application for Laboratory Recertification (D-2802 Previously Certified)</t>
  </si>
  <si>
    <t>RECERTIFICATION</t>
  </si>
  <si>
    <t>no processing-day data; no backlog match; Target90 unflagged</t>
  </si>
  <si>
    <t>OSWW - Application to Modify an Individual Sewage Treatment and Disposal System</t>
  </si>
  <si>
    <t>Tidelands General Permit</t>
  </si>
  <si>
    <t>WWC FORCE MAIN ONLY (REMOVE FLOW)</t>
  </si>
  <si>
    <t>Disaster Debris Management - Modification, Extension, or Closure</t>
  </si>
  <si>
    <t>Disaster Debris Management Location</t>
  </si>
  <si>
    <t>SW NOI MS4</t>
  </si>
  <si>
    <t>Target90 unflagged; low volume (n&lt;10) — latency/score unreliable; backlog &gt; submission volume — likely unit/grain mismatch; verify</t>
  </si>
  <si>
    <t>Air Registration - Auto Body Refinishing Shop Application</t>
  </si>
  <si>
    <t>AIR-Registration - Auto Body</t>
  </si>
  <si>
    <t>Air - Operating Permit Modification</t>
  </si>
  <si>
    <t>Air - OP Modification</t>
  </si>
  <si>
    <t>Beachfront General Permit</t>
  </si>
  <si>
    <t>Air - GCP New Minor</t>
  </si>
  <si>
    <t>AIR-General Construction Permit</t>
  </si>
  <si>
    <t>Air - Operating Permit</t>
  </si>
  <si>
    <t>S.C. Consumer Electronics Recoverer Renewal/Modification/Termination Form</t>
  </si>
  <si>
    <t>LWM-SW Electronics Recoverer</t>
  </si>
  <si>
    <t>SW Construction MS4 NOI Coastal - Tech Review</t>
  </si>
  <si>
    <t>SW NOI MS4 PROJECT REVIEW</t>
  </si>
  <si>
    <t>Wastewater - Construction Permit Application Wastewater Facilities - CONSTRUCTION (D-1970)</t>
  </si>
  <si>
    <t>WWC GRAVITY SEWER,NO PUMP ST (REMOVE FLOW)</t>
  </si>
  <si>
    <t>Agricultural Animal Facilities (other than swine) Application (Form D-3580) - New or Expanding</t>
  </si>
  <si>
    <t>AGWST-NEW FACILITY-DRY MANURE</t>
  </si>
  <si>
    <t>WTR-Agricultural Facility (Non-Swine)</t>
  </si>
  <si>
    <t>Beachfront Minor Action</t>
  </si>
  <si>
    <t>WWC PRETREATMENT - UPGRADE (REMOVE FLOW)</t>
  </si>
  <si>
    <t>WWC DRP CONSTRUCTION (REMOVE FLOW)</t>
  </si>
  <si>
    <t>Air - Title V Modification</t>
  </si>
  <si>
    <t>Air - Title V Minor Modification</t>
  </si>
  <si>
    <t>Application for a Construction &amp; Demolition Debris Recycling Facility, Processing Facility, or Transfer Station</t>
  </si>
  <si>
    <t>TRANSFER STATION NEW</t>
  </si>
  <si>
    <t>OSWW Application for Individual License to Clean or Construct (D-1777) - New</t>
  </si>
  <si>
    <t>Water Well Record D-1903 (UIC)</t>
  </si>
  <si>
    <t>UIC OPERATION</t>
  </si>
  <si>
    <t>WTR - Underground Injection Construction</t>
  </si>
  <si>
    <t>Asbestos - Training Instructor Approval - Modification</t>
  </si>
  <si>
    <t>action type missing in log; low volume (n&lt;10) — latency/score unreliable; backlog &gt; submission volume — likely unit/grain mismatch; verify</t>
  </si>
  <si>
    <t>Department Initiated Permit Action Form - Asbestos (Internal)</t>
  </si>
  <si>
    <t>Asbestos Update</t>
  </si>
  <si>
    <t>Wastewater - NPDES GENERAL Permit Group - Modification</t>
  </si>
  <si>
    <t>Class 1, Class 2, or Class 3 (Industrial Only) Landfill or Structural Fill Modification/Termination</t>
  </si>
  <si>
    <t>LF CLASS 2 MAJOR MODIFICATION</t>
  </si>
  <si>
    <t>Used Oil Transporter and Transfer Facility Termination</t>
  </si>
  <si>
    <t>LWM-SW Used Oil Transporter/Transfer</t>
  </si>
  <si>
    <t>no annual-vol match; no backlog match; Target90 unflagged; low volume (n&lt;10) — latency/score unreliable</t>
  </si>
  <si>
    <t>Mines - Individual Operating Permit New</t>
  </si>
  <si>
    <t>MINES - INDIVIDUAL PERMIT</t>
  </si>
  <si>
    <t>Wastewater - NPDES GENERAL Permit Group - New</t>
  </si>
  <si>
    <t>Wastewater Notice of Termination (NOT)</t>
  </si>
  <si>
    <t>Underground Injection Control Permit Application (D-2502) - New</t>
  </si>
  <si>
    <t>BCM Critical Area Permit Application-General Permit</t>
  </si>
  <si>
    <t>Air - Facility Relocation</t>
  </si>
  <si>
    <t>Asbestos - Training Course License - Modification</t>
  </si>
  <si>
    <t>Lab Cert - Lab Request Decertification of Parameters</t>
  </si>
  <si>
    <t>Air Modeling - Emission Point Information</t>
  </si>
  <si>
    <t>Air - Modeling</t>
  </si>
  <si>
    <t>Air - GOP Modification</t>
  </si>
  <si>
    <t>WWC GRAVITY SEWER,PUMP ST,FM (REMOVE FLOW)</t>
  </si>
  <si>
    <t>Stormwater - Industrial No Exposure Certification (NEC) (D 2616)</t>
  </si>
  <si>
    <t>WW SW-NEC</t>
  </si>
  <si>
    <t>WTR-NPDES Stormwater NEC</t>
  </si>
  <si>
    <t>Target90 unflagged</t>
  </si>
  <si>
    <t>OSWW Manufacturing Facility Permit - Modification (Add/Remove Tanks)</t>
  </si>
  <si>
    <t>BEHS - OSWW Manufacturers</t>
  </si>
  <si>
    <t>Wastewater - Industrial - Preliminary Engineering Review (PER) and Other Request Form - New</t>
  </si>
  <si>
    <t>WWC PER-WWTP EXPANS(CAPACITY)</t>
  </si>
  <si>
    <t>Letter of Approval</t>
  </si>
  <si>
    <t>WWC PUMP STATION,FORCE MAIN (REMOVE FLOW)</t>
  </si>
  <si>
    <t>Air - GCM New</t>
  </si>
  <si>
    <t>AIR-General Conditional Major</t>
  </si>
  <si>
    <t>Wastewater Monitoring Well Application (D-3736)</t>
  </si>
  <si>
    <t>APPLICATION</t>
  </si>
  <si>
    <t>Air - Transfer of Ownership</t>
  </si>
  <si>
    <t>Wastewater - Construction Permit Application Wastewater Facilities - Domestic (D-1970) - Permit Change</t>
  </si>
  <si>
    <t>WWC MODIFICATION (REMOVE FLOW)</t>
  </si>
  <si>
    <t>Air - GCM Modification</t>
  </si>
  <si>
    <t>Wastewater NPDES/ND Domestic/Municipal - Modification</t>
  </si>
  <si>
    <t>LDP Application - Non-MSW</t>
  </si>
  <si>
    <t>LF CLASS 2 NEW</t>
  </si>
  <si>
    <t>no annual-vol match; Target90 unflagged; low volume (n&lt;10) — latency/score unreliable; backlog &gt; submission volume — likely unit/grain mismatch; verify</t>
  </si>
  <si>
    <t>Stormwater Notice of Intent (NOI) - SCDOT Construction Activities Modification</t>
  </si>
  <si>
    <t>SW Construction SCDOT NOT Coastal </t>
  </si>
  <si>
    <t>Surface Water Withdrawal - Agricultural Registration Application (D-2756)</t>
  </si>
  <si>
    <t>SURF WATER AG REGISTRATION</t>
  </si>
  <si>
    <t>WTR-Surface Water Withdrawal Agricultural Registration</t>
  </si>
  <si>
    <t>OSWW - Manufacturing Facility Permit General Information Change</t>
  </si>
  <si>
    <t>action type missing in log; no annual-vol match; no backlog match; Target90 unflagged; low volume (n&lt;10) — latency/score unreliable</t>
  </si>
  <si>
    <t>Surface Water Withdrawal - Application for Agriculture Registration Modification (D-2763)</t>
  </si>
  <si>
    <t>Surface Water Withdrawal - Special Authorization</t>
  </si>
  <si>
    <t>Air Registration - Wood Working Operation Application</t>
  </si>
  <si>
    <t>Used Oil Permit - Processing Facility/Used Oil Burner Modification/Termination</t>
  </si>
  <si>
    <t>LWM-SW Used Oil Burner</t>
  </si>
  <si>
    <t>Land Apply Modification/Reissuance/Termination Form</t>
  </si>
  <si>
    <t>LWM-SW Land Application</t>
  </si>
  <si>
    <t>Air Permitting - Start of Operation Notification</t>
  </si>
  <si>
    <t>no annual-vol match; low volume (n&lt;10) — latency/score unreliable</t>
  </si>
  <si>
    <t>NPDES MODIFICATION W/EXPANSION</t>
  </si>
  <si>
    <t>Groundwater Withdrawal - Application for Permit Modification or Renewal (D-2504)</t>
  </si>
  <si>
    <t>Out-of-State Laboratory Add Parameters or Change Cert Authority (D-2802)</t>
  </si>
  <si>
    <t>ADDITIONAL PARM CERTIFICATION</t>
  </si>
  <si>
    <t>UIC CONSTRUCTION</t>
  </si>
  <si>
    <t>Pools Final Inspection/Approval to Operate</t>
  </si>
  <si>
    <t>action type missing in log; no processing-day data; backlog &gt; submission volume — likely unit/grain mismatch; verify</t>
  </si>
  <si>
    <t>Air - GCP New Synthetic Minor</t>
  </si>
  <si>
    <t>Air - Operating Permit Renewal</t>
  </si>
  <si>
    <t>Air - OP Renewal</t>
  </si>
  <si>
    <t>Air Permitting - Construction Permit (Modification)</t>
  </si>
  <si>
    <t>Air - Synthetic Minor Modification</t>
  </si>
  <si>
    <t>BCM Request to Extend a Critical Area Permit</t>
  </si>
  <si>
    <t>Air  - Site Name Update (Not Transfer of Ownership)</t>
  </si>
  <si>
    <t>Air - Site Name Change</t>
  </si>
  <si>
    <t>Wastewater Facility CONSTRUCTION (Form D-1970) - Permit Change - Extension or Modification</t>
  </si>
  <si>
    <t>Air - Permit Cancellation</t>
  </si>
  <si>
    <t>Air - Terminate Permit</t>
  </si>
  <si>
    <t>Lab Cert - Adding Parameters (D-2802)</t>
  </si>
  <si>
    <t>Permit Transfer</t>
  </si>
  <si>
    <t>Air - CM Modification</t>
  </si>
  <si>
    <t>Wastewater - Notice of Intent (NOI): General Construction Permit for Wastewater Collection Systems (Form D-1793) - New Application</t>
  </si>
  <si>
    <t>BCM Critical Area Request to Amend Permit (In-house)</t>
  </si>
  <si>
    <t>BCM CA In-House Amendment</t>
  </si>
  <si>
    <t>LWM - UST - Application for Permit to Install (Master)</t>
  </si>
  <si>
    <t>LWM - UST - Notification of Ownership Change (D-3871)</t>
  </si>
  <si>
    <t>Agriculture Manure Broker Application (Form D-2514) - Renewal</t>
  </si>
  <si>
    <t>AGWST-MANURE BROKER PERMIT REN</t>
  </si>
  <si>
    <t>WTR-Agricultural Applier/Broker</t>
  </si>
  <si>
    <t>Agriculture – Standard Application Form for an Agricultural Permit for Stacking Sheds/Composters (Form D-2512) - New</t>
  </si>
  <si>
    <t>AGWST-STACKING SHED ADDITION</t>
  </si>
  <si>
    <t>WTR-Agricultural Waste Handling</t>
  </si>
  <si>
    <t>action type missing in log; no processing-day data</t>
  </si>
  <si>
    <t>Pools - Construct a Recreational Water Facility (Application for a Single Pool)</t>
  </si>
  <si>
    <t>Surface Water Withdrawal - Permit Application</t>
  </si>
  <si>
    <t>WTR-Surface Water Withdrawal Permit</t>
  </si>
  <si>
    <t>action type missing in log; low volume (n&lt;10) — latency/score unreliable</t>
  </si>
  <si>
    <t>Air - Site Update including Transfer of Ownership</t>
  </si>
  <si>
    <t>AGWST-COMPOSTER ADDITION</t>
  </si>
  <si>
    <t>BCM CA Permit Assignment or Transfer Request</t>
  </si>
  <si>
    <t>Air - Asphalt Plant Construction Application</t>
  </si>
  <si>
    <t>Mines - Individual Mine Operating Permit Modification</t>
  </si>
  <si>
    <t>MINES - SUBSTANTIAL MOD</t>
  </si>
  <si>
    <t>WWC EXP GRAVITY SEWER,NO PUMP ST (REMOVE FLOW)</t>
  </si>
  <si>
    <t>AGWST-EXPANSION-DRY MANURE</t>
  </si>
  <si>
    <t>Wastewater - Notice of Intent (NOI): NPDES General Permit for Hydrostatic Test Water Discharges (Form D-3729) - Hydrostatic Events for permitted facilities</t>
  </si>
  <si>
    <t>UST-PERMIT TO OPERATE</t>
  </si>
  <si>
    <t>Agriculture Manure Broker Application (Form D-2514) - New</t>
  </si>
  <si>
    <t>AGWST-NEW MANURE BROKER</t>
  </si>
  <si>
    <t>SOLID WASTE PROC MODIFICATION</t>
  </si>
  <si>
    <t>LWM-SW Processing Facility</t>
  </si>
  <si>
    <t>Target90 unflagged; low volume (n&lt;10) — latency/score unreliable</t>
  </si>
  <si>
    <t>NPDES REISSUE WITH EXPANSION</t>
  </si>
  <si>
    <t>Five Year Review - Compliance - Landfills</t>
  </si>
  <si>
    <t>AGWST-COMPOSTER &amp; STACKING SHE</t>
  </si>
  <si>
    <t>Asbestos - Project Application - Abatement New</t>
  </si>
  <si>
    <t>Air - Title V Administrative Amendment</t>
  </si>
  <si>
    <t>DAM MODIFICATION</t>
  </si>
  <si>
    <t>Class 3 (MSW) Landfill Modification/Termination</t>
  </si>
  <si>
    <t>LF CLASS 3 MAJOR MODIFICATION</t>
  </si>
  <si>
    <t>LWM-SW Class 3 Landfill</t>
  </si>
  <si>
    <t>Air - Expedited Synthetic Minor Concrete</t>
  </si>
  <si>
    <t>Pesticides</t>
  </si>
  <si>
    <t>Air - Minor NSR Modification</t>
  </si>
  <si>
    <t>Stormwater Notice of Termination (NOT) - Termination of Coverage for Construction Activities (D 2610)</t>
  </si>
  <si>
    <t>SW NOT</t>
  </si>
  <si>
    <t>Infectious Waste Generator Registration Renewal Form</t>
  </si>
  <si>
    <t>Asbestos - Project Application - Abatement Revision</t>
  </si>
  <si>
    <t>Extension</t>
  </si>
  <si>
    <t>Air - Expedited Minor Concrete</t>
  </si>
  <si>
    <t>Air Permitting - Construction Permit Package (Modification)</t>
  </si>
  <si>
    <t>Air - Expedited Synthetic Minor Asphalt</t>
  </si>
  <si>
    <t>Pools - Piping Inspection Request</t>
  </si>
  <si>
    <t>WWC EXP PUMP STATION,FORCE MAIN (REMOVE FLOW)</t>
  </si>
  <si>
    <t>Wastewater - Domestic - Preliminary Engineering Review (PER) and Other Request Form - New</t>
  </si>
  <si>
    <t>WWC PER SPECULATIVE WASTELOAD ALLOCATION REQUEST</t>
  </si>
  <si>
    <t>Air - Expedited Minor NSR Modification</t>
  </si>
  <si>
    <t>WWC PRETREATMENT - SIMPLE (REMOVE FLOW)</t>
  </si>
  <si>
    <t>Gravity Sewer</t>
  </si>
  <si>
    <t>Registration for Wood Chipping, Shredding and/or Composting</t>
  </si>
  <si>
    <t>LWM-SW Composting Facility</t>
  </si>
  <si>
    <t>NPDES GENERAL MODIFICATION</t>
  </si>
  <si>
    <t>AG - Facility Renewal - Wet</t>
  </si>
  <si>
    <t>AG - Facility Renewal - Dry</t>
  </si>
  <si>
    <t>WWC EXP GRAVITY SEWER,PUMP ST,FM (REMOVE FLOW)</t>
  </si>
  <si>
    <t>Air - Exemption Request</t>
  </si>
  <si>
    <t>WWC SLUDGE/SOLIDS</t>
  </si>
  <si>
    <t>Wastewater - Industrial - Preliminary Engineering Review (PER) and Other Request Form – Permit Change</t>
  </si>
  <si>
    <t>WWC PER-WWTP UPGRADE (QUALITY)</t>
  </si>
  <si>
    <t>action type missing in log; no processing-day data; low volume (n&lt;10) — latency/score unreliable; backlog &gt; submission volume — likely unit/grain mismatch; verify</t>
  </si>
  <si>
    <t>Surface Water Withdrawal - Permit Modification Application</t>
  </si>
  <si>
    <t>Infectious Waste Generator New Registration Form</t>
  </si>
  <si>
    <t>Withdrawal Facility - Monitoring Well Application (D-3736)</t>
  </si>
  <si>
    <t>WTR-Groundwater Withdrawal Monitoring Well</t>
  </si>
  <si>
    <t>action type missing in log; Target90 unflagged; low volume (n&lt;10) — latency/score unreliable; backlog &gt; submission volume — likely unit/grain mismatch; verify</t>
  </si>
  <si>
    <t>Wastewater Application NPDES Industrial - Renewal</t>
  </si>
  <si>
    <t>Mines - General Operating Permit New</t>
  </si>
  <si>
    <t>MINES - GENERAL PERMIT</t>
  </si>
  <si>
    <t>Mines - Financial Assurance Service Request</t>
  </si>
  <si>
    <t>Stormwater - Industrial Notice of Intent Modification</t>
  </si>
  <si>
    <t>DAM REPAIR</t>
  </si>
  <si>
    <t>Lab Cert - Laboratory Renewal (D-2802)</t>
  </si>
  <si>
    <t>LABCERT RENEWAL</t>
  </si>
  <si>
    <t>Stormwater Notice of Intent (NOI) - SCDOT Construction Activities</t>
  </si>
  <si>
    <t>SW Construction SCDOT NOI Coastal </t>
  </si>
  <si>
    <t>Nationwide 401 General Permit Application</t>
  </si>
  <si>
    <t>Stormwater Notice of Intent (NOI) - Construction Activities Transfer of Ownership (D 2617 &amp; D 0434)</t>
  </si>
  <si>
    <t>Stormwater Notice of Intent (NOI) - Construction Activities Modification (D 2617 &amp; D 0435)</t>
  </si>
  <si>
    <t>SW Construction NOI Modification - Coastal</t>
  </si>
  <si>
    <t>MINES -  MINOR MOD</t>
  </si>
  <si>
    <t>Wood Chipping, Shredding and/or Composting Modification/Termination Form</t>
  </si>
  <si>
    <t>SW Construction MS4 NOI Modification - Coastal</t>
  </si>
  <si>
    <t>Asbestos - Project Application - Demolition with Asbestos New</t>
  </si>
  <si>
    <t>Asbestos - Project Permit Cancellation</t>
  </si>
  <si>
    <t>Asbestos Cancellation</t>
  </si>
  <si>
    <t>Air - CM New</t>
  </si>
  <si>
    <t>NPDES MINOR MODIFICATION</t>
  </si>
  <si>
    <t>GWW Renewal</t>
  </si>
  <si>
    <t>Non-permitted Request</t>
  </si>
  <si>
    <t>LWM-SW Recovered Materials Processing Facility</t>
  </si>
  <si>
    <t>Application for Permit to Construct a Waste Tire Facility</t>
  </si>
  <si>
    <t>TIRE FACILITY NEW</t>
  </si>
  <si>
    <t>LWM-SW Tire Facility</t>
  </si>
  <si>
    <t>Hurricane Idalia Emergency Authorization for Tidelands Critical Areas</t>
  </si>
  <si>
    <t>BCM Letter of Authorization</t>
  </si>
  <si>
    <t>Mines - Operating Permit Transfer of Ownership</t>
  </si>
  <si>
    <t>MINES - TRANSFER OF OWNERSHIP</t>
  </si>
  <si>
    <t>LF CLASS 3 MINOR MODIFICATION</t>
  </si>
  <si>
    <t>Asbestos - Individual License - New</t>
  </si>
  <si>
    <t>Asbestos - Individual License - Renewal</t>
  </si>
  <si>
    <t>New Asbestos Demolition</t>
  </si>
  <si>
    <t>Stormwater Notice of Intent (NOI) - Individual Lot NOI (D 0432)</t>
  </si>
  <si>
    <t>SW Individual Lot NOI - Coastal</t>
  </si>
  <si>
    <t>WTR-Stormwater Individual Lot NOI</t>
  </si>
  <si>
    <t>WWC PER OTHER</t>
  </si>
  <si>
    <t>WWC PER CLOSURE PLAN</t>
  </si>
  <si>
    <t>Asbestos - Project Application - Demolition New</t>
  </si>
  <si>
    <t>AIR-Asbestos Demolition</t>
  </si>
  <si>
    <t>Solar Registration</t>
  </si>
  <si>
    <t>LWM-SW Solar Registration</t>
  </si>
  <si>
    <t>action type missing in log; Target90 unflagged; backlog &gt; submission volume — likely unit/grain mismatch; verify</t>
  </si>
  <si>
    <t>SW Construction NOI Modification - Non-Coastal</t>
  </si>
  <si>
    <t>Air - Registration Modification</t>
  </si>
  <si>
    <t>Disaster Debris Management Site Approval - Renewal</t>
  </si>
  <si>
    <t>Asbestos - Project Application - Demolition Revision</t>
  </si>
  <si>
    <t>New NESHAP Non Friable</t>
  </si>
  <si>
    <t>Stormwater Notice of Termination (NOT) - Termination of Coverage for Industrial Activities (D 2609)</t>
  </si>
  <si>
    <t>SW Construction SCDOT NOI Non-Coastal - Tech Review</t>
  </si>
  <si>
    <t>Used Oil Transporter and Transfer Facility Registration Application</t>
  </si>
  <si>
    <t>New Minor Friable</t>
  </si>
  <si>
    <t>SW Individual Lot NOI - Non-Coastal</t>
  </si>
  <si>
    <t>Wastewater - Domestic - Preliminary Engineering Review (PER) and Other Request Form – Permit Change</t>
  </si>
  <si>
    <t>New NESHAP Friable</t>
  </si>
  <si>
    <t>LAND APPL MINOR MODIFICATION</t>
  </si>
  <si>
    <t>Stormwater - Department Initiated Permit Action Form - (Internal)</t>
  </si>
  <si>
    <t>LWM - UST - A/B Operator Certification</t>
  </si>
  <si>
    <t>UST - A/B Operator</t>
  </si>
  <si>
    <t>LWM - SARR</t>
  </si>
  <si>
    <t>Prebuy/Investigations (SARR) - Monitoring Well Application (D-3736)</t>
  </si>
  <si>
    <t>SARR - Monitoring Well Permit</t>
  </si>
  <si>
    <t>LWM-Monitoring Well SARR</t>
  </si>
  <si>
    <t>Infectious Waste Registration Change</t>
  </si>
  <si>
    <t>Asbestos - Contractor License - Renewal</t>
  </si>
  <si>
    <t>LWM - UST - Monitoring Well Application (D-3736)</t>
  </si>
  <si>
    <t>LWM - UST - Monitoring Well</t>
  </si>
  <si>
    <t>Natural Public Swimming Area Application for Annual Operating Certificate</t>
  </si>
  <si>
    <t>WTR-Recreational Water Natural</t>
  </si>
  <si>
    <t>action type missing in log; no annual-vol match; no processing-day data; Target90 unflagged; low volume (n&lt;10) — latency/score unreliable; backlog &gt; submission volume — likely unit/grain mismatch; verify</t>
  </si>
  <si>
    <t>Application for Site Approval - Disaster Debris Management</t>
  </si>
  <si>
    <t>Beachfront Emergency Order</t>
  </si>
  <si>
    <t>BCM-Emergency Order</t>
  </si>
  <si>
    <t>New Small Friable</t>
  </si>
  <si>
    <t>Waste Tire Hauler Facility Registration Application</t>
  </si>
  <si>
    <t>GWW Minor Modification</t>
  </si>
  <si>
    <t>SW NOI STANDARD</t>
  </si>
  <si>
    <t>WWC PER PUMP AND HAUL REQUEST - Not To POTW</t>
  </si>
  <si>
    <t>DAM CONSTRUCTION</t>
  </si>
  <si>
    <t>SW Construction SCDOT NOI Coastal - Tech Review</t>
  </si>
  <si>
    <t>Air Registration - Surface Finishing Application</t>
  </si>
  <si>
    <t>Agriculture Facility Application (Form D-2511) - Modification</t>
  </si>
  <si>
    <t>WTR-Agricultural Letter of Approval</t>
  </si>
  <si>
    <t>SW Construction MS4 NOI Modification - Non-Coastal</t>
  </si>
  <si>
    <t>WWC PER MAINTENANCE CHEMICAL ADDITIONS/CHANGES</t>
  </si>
  <si>
    <t>Lab Cert - In-State Application for Environmental Lab Certification (D-2802)</t>
  </si>
  <si>
    <t>INITIAL CERTIFICATION</t>
  </si>
  <si>
    <t>WWC PER PILOT STUDY</t>
  </si>
  <si>
    <t>Demolition Revision</t>
  </si>
  <si>
    <t>SW Construction SCDOT NOI Non-Coastal </t>
  </si>
  <si>
    <t>Agricultural Permit Transfer of Ownership or Operation (Form D-2513)</t>
  </si>
  <si>
    <t>AGWST-CHANGE IN OWNERSHIP</t>
  </si>
  <si>
    <t>Asbestos - Contractor License - New</t>
  </si>
  <si>
    <t>Wastewater Extension for Domestic and Industrial WW Permitting</t>
  </si>
  <si>
    <t>Application for Permit for Oil and Gas Exploration, Drilling, or Transportation (when generated in South Carolina)</t>
  </si>
  <si>
    <t>Drilling or Exploration</t>
  </si>
  <si>
    <t>LWM-Oil and Gas</t>
  </si>
  <si>
    <t>Out-of-State Laboratory Renewal (D-2802)</t>
  </si>
  <si>
    <t>SW - Construction &amp; Demolition Debris Recycler</t>
  </si>
  <si>
    <t>LWM-SW C&amp;D Debris Recycling Facility</t>
  </si>
  <si>
    <t>Certified Operator Application</t>
  </si>
  <si>
    <t>LWM-SW Landfill Oper. Cert. Sup</t>
  </si>
  <si>
    <t>Solid Waste Monitoring Well Application (D-3736)</t>
  </si>
  <si>
    <t>LWM-Monitoring Well Solid Waste</t>
  </si>
  <si>
    <t>Stormwater NEC - Industrial No Exposure Certification (D 2616) - Renewal</t>
  </si>
  <si>
    <t>Air - Exempt Facility</t>
  </si>
  <si>
    <t>Air Registration - Crematory Operation Application</t>
  </si>
  <si>
    <t>Internal Permit Modification Form</t>
  </si>
  <si>
    <t>LWM-SW Structural Fill</t>
  </si>
  <si>
    <t>Tanning Registration Form (D-0826)</t>
  </si>
  <si>
    <t>WWC PER USE OF MOBILE UNIT</t>
  </si>
  <si>
    <t>LF CLASS 2 MINOR MODIFICATION</t>
  </si>
  <si>
    <t>Stormwater Extension Request</t>
  </si>
  <si>
    <t>Asbestos - Training Course License - New</t>
  </si>
  <si>
    <t>Wastewater Satellite Sewer System Owner Notification Form (D 2614)</t>
  </si>
  <si>
    <t>action type missing in log; no annual-vol match; Target90 unflagged</t>
  </si>
  <si>
    <t>SW NOI SCDOT</t>
  </si>
  <si>
    <t>WWC PER SLUDGE/SOLIDS</t>
  </si>
  <si>
    <t>WWC PER PUMP AND HAUL REQUEST - To POTW (REMOVE FLOW)</t>
  </si>
  <si>
    <t>Stormwater Notice of Intent (NOI) - Annual Blanket for Construction Activities (D 0433)</t>
  </si>
  <si>
    <t>SW ANNUAL BLANKET NOTIFICATION</t>
  </si>
  <si>
    <t>Lead-Acid Battery Facility Registration Application</t>
  </si>
  <si>
    <t>LWM-SW Battery Collection</t>
  </si>
  <si>
    <t>Hurricane Helene Emergency Authorization for BCM Tidelands Critical Areas</t>
  </si>
  <si>
    <t>Tidelands Letter of Authorization</t>
  </si>
  <si>
    <t>Asbestos - Training Instructor Approval - New</t>
  </si>
  <si>
    <t>Asbestos - Group License - New</t>
  </si>
  <si>
    <t>Asbestos - Temporary Storage License - New</t>
  </si>
  <si>
    <t>BCM Emergency Order Application</t>
  </si>
  <si>
    <t>action type missing in log; no annual-vol match; Target90 unflagged; low volume (n&lt;10) — latency/score unreliable; backlog &gt; submission volume — likely unit/grain mismatch; verify</t>
  </si>
  <si>
    <t>Air - Permitting Regulatory Request</t>
  </si>
  <si>
    <t>Air-Letter of Response</t>
  </si>
  <si>
    <t>action type missing in log; Target90 unflagged; low volume (n&lt;10) — latency/score unreliable</t>
  </si>
  <si>
    <t>no processing-day data; Target90 unflagged; low volume (n&lt;10) — latency/score unreliable; backlog &gt; submission volume — likely unit/grain mismatch; verify</t>
  </si>
  <si>
    <t>OSWW Manufacturing Facility Permit Application - Tank Design Questionnaire</t>
  </si>
  <si>
    <t>GWW - Affidavit Notice</t>
  </si>
  <si>
    <t>Reissuance for Expired Permit</t>
  </si>
  <si>
    <t>Class 1, Class 2, or Class 3 (Industrial Only) Landfill or Structural Fill Registration</t>
  </si>
  <si>
    <t>LF STRUCTURAL NEW</t>
  </si>
  <si>
    <t>Wastewater - Construction - Preliminary Engineering Review (PER) and Other Request Form - New</t>
  </si>
  <si>
    <t>Infectious Waste Transporter Registration Form</t>
  </si>
  <si>
    <t>IW INITIAL REGISTRATION</t>
  </si>
  <si>
    <t>Groundwater Withdrawal Water Well Record D-1903</t>
  </si>
  <si>
    <t>SW Construction MS4 NOI Non-Coastal - Tech Review</t>
  </si>
  <si>
    <t>WWC PER-NEW WWTP-DISCHARGE</t>
  </si>
  <si>
    <t>WWC PER-PRETREATMENT - UPGRADE</t>
  </si>
  <si>
    <t>WWC PER SPECULATIVE LAND APPLICATION REQUEST</t>
  </si>
  <si>
    <t>Wastewater - Construction - Standard Specifications - New</t>
  </si>
  <si>
    <t>WTR-StandardSpecifications (WW)</t>
  </si>
  <si>
    <t>WWC PER-COLLECTION SYSTEM</t>
  </si>
  <si>
    <t>S.C. Consumer Electronics Recoverer Registration Form (formerly Recycler Registration)</t>
  </si>
  <si>
    <t>Air Registration - Fuel Combustion Operation Application</t>
  </si>
  <si>
    <t>SW NOI OCRM</t>
  </si>
  <si>
    <t>SW Construction NOT - Non-Coastal</t>
  </si>
  <si>
    <t>SW MODIFICATION</t>
  </si>
  <si>
    <t>Hurricane Ian Emergency Authorization for Tidelands Critical Areas in Horry and Georgetown County</t>
  </si>
  <si>
    <t>Stormwater Construction Expedited Review Agreement Form (D-2618)</t>
  </si>
  <si>
    <t>LF CLASS 1 MODIFICATION</t>
  </si>
  <si>
    <t>LWM-SW Class 1 Landfill</t>
  </si>
  <si>
    <t>Groundwater Withdrawal - Water Use Registration (D-3764)</t>
  </si>
  <si>
    <t>WTR-Groundwater Withdrawal Registration</t>
  </si>
  <si>
    <t>Agriculture Integrator Registration (Form D-2516)</t>
  </si>
  <si>
    <t>AGWST-INTEGRATOR REGISTRATION</t>
  </si>
  <si>
    <t>WTR-Agricultural Integrator</t>
  </si>
  <si>
    <t>Mines - Monitoring Well Application</t>
  </si>
  <si>
    <t>Gaps &amp; Needed Data — what the current exports cannot answer</t>
  </si>
  <si>
    <t>Cells highlighted red in Table B mark row-level gaps. The items below are the structural gaps that limit the decision, with the specific data needed to close each.</t>
  </si>
  <si>
    <t>Gap</t>
  </si>
  <si>
    <t>Impact on the decision</t>
  </si>
  <si>
    <t>Data needed to close it</t>
  </si>
  <si>
    <t>Likely owner / source</t>
  </si>
  <si>
    <t>Status in live Power BI (verified 6/18/26)</t>
  </si>
  <si>
    <t>No pending-inclusive export (right-censoring)</t>
  </si>
  <si>
    <t>Cycle time is measured blind to the backlog; recent years look artificially fast.</t>
  </si>
  <si>
    <t>A submission extract that includes PENDING/in-process records with current age, not just Completed.</t>
  </si>
  <si>
    <t>Permitting system of record (e.g., ePermitting/EnSITE export)</t>
  </si>
  <si>
    <t>CONFIRMED in source — Core_SUBM + Unassigned Submissions (STATUS, RCVD_DATE). Needs a pending+completed extract.</t>
  </si>
  <si>
    <t>Total backlog (27,234) is an unverified upper bound; cannot be allocated to a permit action.</t>
  </si>
  <si>
    <t>Backlog at a single defined grain (program × form × action), with a definition of what one 'backlog count' represents.</t>
  </si>
  <si>
    <t>Whoever produced backlog.xlsx</t>
  </si>
  <si>
    <t>OPEN — backlog grain still undefined; resolvable from Core_SUBM at submission grain.</t>
  </si>
  <si>
    <t>EIP / Energy 3309 tagged only 'can be', recent slice</t>
  </si>
  <si>
    <t>Cannot measure actual energy-project volume, cycle time, or how often the 180-day default fires.</t>
  </si>
  <si>
    <t>A project-level flag tagging which specific submissions are Energy Infrastructure Projects, with the 180-day clock start/stop.</t>
  </si>
  <si>
    <t>Permitting system + program leads</t>
  </si>
  <si>
    <t>PARTIAL — Core_SUBM.RESRC_PROJ_NAME may tag projects; no explicit energy/180-day flag confirmed.</t>
  </si>
  <si>
    <t>Duplicates &amp; record-type contamination</t>
  </si>
  <si>
    <t>8.5% exact dupes (14.5% in OSWW); Superseded/historical versions mixed in inflate volume.</t>
  </si>
  <si>
    <t>A de-duplicated, application-event-level extract (one row per submission event), excluding lifecycle-version rows.</t>
  </si>
  <si>
    <t>System of record / data team</t>
  </si>
  <si>
    <t>RESOLVABLE — Core_SUBM VERSN_NUM explains 'superseded'/dup rows; clean event-level extract feasible.</t>
  </si>
  <si>
    <t>A third of records can't be matched to an action; action-level joins are weakened.</t>
  </si>
  <si>
    <t>Action type populated on all submission records.</t>
  </si>
  <si>
    <t>System of record</t>
  </si>
  <si>
    <t>CONFIRMED — REF_FORM_TYPE_DESCR present in live reports/model.</t>
  </si>
  <si>
    <t>No staff-effort / labor-hours measure</t>
  </si>
  <si>
    <t>Processing days = elapsed calendar time (includes external waits), not analyst effort. Can't size where AI saves work vs. waiting.</t>
  </si>
  <si>
    <t>Analyst hours or touch-time per action, or workflow-step timestamps.</t>
  </si>
  <si>
    <t>Program time-tracking / workflow logs</t>
  </si>
  <si>
    <t>CONFIRMED in source — Core_SUBM.PRCSS_HRS_SPENT (staff hours) + TTL_HOLD_DAYS/PCT_HOLD_DAYS + Core_SUBM_HOLD/Core_EVT. (Was 'no file has it'.)</t>
  </si>
  <si>
    <t>Coordination structure not captured</t>
  </si>
  <si>
    <t>EIP value rests on multi-permit coordination, but no field links the permits that belong to one project.</t>
  </si>
  <si>
    <t>A project/site identifier linking the parallel permits of a single project across programs.</t>
  </si>
  <si>
    <t>PARTIAL — Core_SUBM.RESRC_PROJ_NAME may link a project's permits; cross-program linkage unverified.</t>
  </si>
  <si>
    <t>Pools &amp; Private Wells unit mismatch</t>
  </si>
  <si>
    <t>High-volume programs not comparable on these files (e.g., change orders ≠ submissions).</t>
  </si>
  <si>
    <t>Consistent submission-unit definition across all programs.</t>
  </si>
  <si>
    <t>Data team</t>
  </si>
  <si>
    <t>OPEN — comparability is a definition issue; consistent submission grain available in Core_SUBM.</t>
  </si>
  <si>
    <t>Archive.zip unreadable</t>
  </si>
  <si>
    <t>Possible system-of-record export that could close gaps 1–5 is inaccessible.</t>
  </si>
  <si>
    <t>Re-share / re-sync Archive.zip (it is not a valid zip as delivered).</t>
  </si>
  <si>
    <t>Brett / file owner</t>
  </si>
  <si>
    <t>UNREADABLE — Archive.zip still not a valid file (live DataHub supersedes it as the source).</t>
  </si>
  <si>
    <t>Site-visit / inspection dependency not in raw data</t>
  </si>
  <si>
    <t>AI leverage is lower where a physical inspection gates the decision, but raw files don't flag this.</t>
  </si>
  <si>
    <t>A field marking which actions require a site visit/inspection before decision.</t>
  </si>
  <si>
    <t>Program leads</t>
  </si>
  <si>
    <t>NOT CONFIRMED — possibly via Core_EVT event category/type; Core_PRMT not inspected.</t>
  </si>
  <si>
    <t>Power BI Source Catalog — SCDES ePermitting + DataHub (reviewed live on DES Laptop, 6/18/2026)</t>
  </si>
  <si>
    <t>Source: app.powerbigov.us · tenant b34bd9f9-... · workspaces 'ePermitting Users' (517ae71d-...) and 'BOW'. Facts observed on screen. For the data model (Table 3) the column NAMES were verified in the read-only model; row VALUES were not extracted. 'Data updated' = each item's own refresh stamp.</t>
  </si>
  <si>
    <t>TABLE 1 — Report inventory (permit-operations scope)</t>
  </si>
  <si>
    <t>Report</t>
  </si>
  <si>
    <t>Data updated</t>
  </si>
  <si>
    <t>Type / purpose (observed)</t>
  </si>
  <si>
    <t>Fields exposed (verbatim where seen)</t>
  </si>
  <si>
    <t>Concrete metrics captured</t>
  </si>
  <si>
    <t>Relevance</t>
  </si>
  <si>
    <t>Source location (URL)</t>
  </si>
  <si>
    <t>Unassigned Submissions</t>
  </si>
  <si>
    <t>3/13/2025</t>
  </si>
  <si>
    <t>OPERATIONAL. Received-but-unassigned submissions. Page filter STATUS = Received (PENDING).</t>
  </si>
  <si>
    <t>REF_PROGRAM_AREA_DESCR; FORM_NAME; REF_FORM_TYPE_DESCR; RCVD_DATE (Y/M/D); ASGND_WRKGRP_NAME; ASGND_USER_NAME; Sum of ReceivableAmount; Sum of AmountDue; VERSN_N; Link.</t>
  </si>
  <si>
    <t>Row-level pending submissions w/ received date, workgroup, user, fees.</t>
  </si>
  <si>
    <t>HIGH — the pending population + received date (=age).</t>
  </si>
  <si>
    <t>https://app.powerbigov.us/groups/517ae71d-9762-4aca-bcaa-c81535d4c1f6/reports/c5b88844-046e-4827-9e2d-d2e8f3c4e20b</t>
  </si>
  <si>
    <t>Usage</t>
  </si>
  <si>
    <t>6/16/2026</t>
  </si>
  <si>
    <t>OPERATIONAL. Portal adoption + intake volume.</t>
  </si>
  <si>
    <t>UNQ_EXT/INT_SUCCESS_LOGINS; New External Users; Submissions Received (by Year); DMRs Received (Y/Qtr).</t>
  </si>
  <si>
    <t>External users 79,639. Submissions Received/yr: 13K(2016)-&gt;123K(2024)-&gt;69K(2026 ptl). DMRs ~3.5K/qtr.</t>
  </si>
  <si>
    <t>MEDIUM — system-wide received volume (incl. pending).</t>
  </si>
  <si>
    <t>https://app.powerbigov.us/groups/517ae71d-9762-4aca-bcaa-c81535d4c1f6/reports/cda929ac-0df1-4e12-a42b-ea5c6a2a1034</t>
  </si>
  <si>
    <t>Invoices</t>
  </si>
  <si>
    <t>4/7/2025</t>
  </si>
  <si>
    <t>OPERATIONAL. Fee billing.</t>
  </si>
  <si>
    <t>Amount Invoiced; Number Due; Amount Due; Fee Category; Prefix; Status; Year.</t>
  </si>
  <si>
    <t>Invoiced 230.48M; Number Due 8,482; Amount Due 3.76M.</t>
  </si>
  <si>
    <t>LOW-MEDIUM — fee/prefix linkage, not processing time.</t>
  </si>
  <si>
    <t>https://app.powerbigov.us/groups/517ae71d-9762-4aca-bcaa-c81535d4c1f6/reports/2a022486-8a63-4b7c-a367-7fa8e0750865</t>
  </si>
  <si>
    <t>Claimed Sites Awaiting Approval</t>
  </si>
  <si>
    <t>7/30/2025</t>
  </si>
  <si>
    <t>OPERATIONAL (access mgmt). Pending site-claim approvals.</t>
  </si>
  <si>
    <t>SiteSiteId; AcctClaimReqstRole; AcctClaimReqstRequestor; AcctClaimReqstReqstReasn; AcctClaimReqstUpdatedDate; SiteSiteTypes; SiteCnty.</t>
  </si>
  <si>
    <t>1,364 pending claims; ~300+/yr 2021-2025.</t>
  </si>
  <si>
    <t>LOW — portal access workload, not permit processing.</t>
  </si>
  <si>
    <t>https://app.powerbigov.us/groups/517ae71d-9762-4aca-bcaa-c81535d4c1f6/reports/24282f5e-f431-434a-a08a-8f89324d0dac</t>
  </si>
  <si>
    <t>OSWW / Air / Hazardous Waste / Drinking Water 'Implementation (Status)'</t>
  </si>
  <si>
    <t>2024-2026</t>
  </si>
  <si>
    <t>NOT permit data — JIRA system-BUILD trackers (verified on these 4).</t>
  </si>
  <si>
    <t>JIRA: Issue Type; Key (SCEP-#####); Summary; Status; Priority; Resolution; Reporter; Assignee; Updated.</t>
  </si>
  <si>
    <t>Ticket counts (HW=80, DW=377), dev workflow states.</t>
  </si>
  <si>
    <t>NONE for processing time — tracks building the system.</t>
  </si>
  <si>
    <t>https://app.powerbigov.us/groups/517ae71d-9762-4aca-bcaa-c81535d4c1f6/reports/84604c81-... (OSWW) + 3 others</t>
  </si>
  <si>
    <t>Lab Cert / Rad Materials / Rad Waste / Rec Waters / X-Ray 'Implementation Status'</t>
  </si>
  <si>
    <t>2025-2026</t>
  </si>
  <si>
    <t>NOT individually opened — same naming/family as the 4 verified JIRA trackers.</t>
  </si>
  <si>
    <t>Presumed JIRA fields — NOT CONFIRMED (not opened).</t>
  </si>
  <si>
    <t>Not captured.</t>
  </si>
  <si>
    <t>Likely NONE; flagged not-verified (no assumption).</t>
  </si>
  <si>
    <t>https://app.powerbigov.us/groups/517ae71d-9762-4aca-bcaa-c81535d4c1f6/list (ePermitting Users)</t>
  </si>
  <si>
    <t>TABLE 2 — Does the live system carry the data we need? (UPDATED after inspecting the DataHub model)</t>
  </si>
  <si>
    <t>Needed data point</t>
  </si>
  <si>
    <t>Status in live system</t>
  </si>
  <si>
    <t>Evidence (report / model field)</t>
  </si>
  <si>
    <t>What still needs confirming</t>
  </si>
  <si>
    <t>Pending records (not just completed)</t>
  </si>
  <si>
    <t>CONFIRMED</t>
  </si>
  <si>
    <t>Unassigned Submissions (STATUS=Received); DataHub Core_SUBM.</t>
  </si>
  <si>
    <t>A combined pending+completed extract in one pull.</t>
  </si>
  <si>
    <t>Received date / age of queue</t>
  </si>
  <si>
    <t>Unassigned Submissions RCVD_DATE; Core_SUBM date fields.</t>
  </si>
  <si>
    <t>Age = today − RCVD_DATE (compute).</t>
  </si>
  <si>
    <t>Work-time vs WAIT-time (cause splitter)</t>
  </si>
  <si>
    <t>Core_SUBM_HOLD [START_DATE, END_DATE, Reason]; Core_SUBM TTL_HOLD_DAYS &amp; PCT_HOLD_DAYS (pre-computed); Core_EVT event log; Report_HET_Target90_Hold.</t>
  </si>
  <si>
    <t>Extract values; confirm hold logic is applied consistently across programs.</t>
  </si>
  <si>
    <t>Staff EFFORT (labor hours)</t>
  </si>
  <si>
    <t>Core_SUBM PRCSS_HRS_SPENT (processing hours spent).</t>
  </si>
  <si>
    <t>How it is populated (system-timed vs manual entry) — affects reliability.</t>
  </si>
  <si>
    <t>Statutory deadline / Target90 clock</t>
  </si>
  <si>
    <t>Core_SUBM APP_PRCSS_DUE_DATE, RESUBM_DUE_DATE; Report_HET_Target90_Hold; Report_HET_CZC_TIMELINE.</t>
  </si>
  <si>
    <t>Status + status-change timestamps + version</t>
  </si>
  <si>
    <t>Core_SUBM STAT_CHNG_DATE, STAT_CHNG_EFCTV_DATE, VERSN_NUM; Core_EVT.</t>
  </si>
  <si>
    <t>Assignment / workgroup (coordination)</t>
  </si>
  <si>
    <t>Core_SUBM ASGND_WRKGRP_NAME, ASGND_USER_NAME.</t>
  </si>
  <si>
    <t>Processing time incl. the slow tail</t>
  </si>
  <si>
    <t>Core_SUBM + Report_SUBM_PRCSS_DAYS + holds; pending age via dates.</t>
  </si>
  <si>
    <t>Extract across ALL statuses (not completed-only).</t>
  </si>
  <si>
    <t>Energy / EIP (180-day) project tag</t>
  </si>
  <si>
    <t>PARTIAL</t>
  </si>
  <si>
    <t>Core_SUBM RESRC_PROJ_NAME (resource project name) may capture projects.</t>
  </si>
  <si>
    <t>No explicit energy/180-day flag confirmed; verify what RESRC_PROJ_NAME contains.</t>
  </si>
  <si>
    <t>Project linkage across permits</t>
  </si>
  <si>
    <t>RESRC_PROJ_NAME could group a project's permits.</t>
  </si>
  <si>
    <t>Confirm it links permits across programs for one project.</t>
  </si>
  <si>
    <t>Site-visit / inspection-required flag</t>
  </si>
  <si>
    <t>NOT CONFIRMED</t>
  </si>
  <si>
    <t>Possibly via Core_EVT event category/type (e.g., inspection events).</t>
  </si>
  <si>
    <t>Core_PRMT not inspected; no explicit flag verified.</t>
  </si>
  <si>
    <t>System-wide intake volume</t>
  </si>
  <si>
    <t>Usage: Submissions Received by Year.</t>
  </si>
  <si>
    <t>Per permit-type breakdown via Core_SUBM (not in Usage).</t>
  </si>
  <si>
    <t>TABLE 3 — DataHub source model behind 'Target_90_BOW' (column NAMES verified in read-only model; values not extracted)</t>
  </si>
  <si>
    <t>Model: Target_90_BOW · workspace BOW · dataset 3cd8cc6c-be74-414d-9450-2abd6f5db8af · refreshed 6/18/2026 9:13 AM · READ-ONLY · https://app.powerbigov.us/datahub/datasets/3cd8cc6c-be74-414d-9450-2abd6f5db8af</t>
  </si>
  <si>
    <t>SCOPE CAVEAT: this model is BOW (Bureau of Water)-named. Whether the DataHub Core tables cover ALL bureaus (Air, Land &amp; Waste Mgmt, etc.) at the same depth is NOT confirmed.</t>
  </si>
  <si>
    <t>Table</t>
  </si>
  <si>
    <t>Inspected?</t>
  </si>
  <si>
    <t>Key columns observed (verbatim)</t>
  </si>
  <si>
    <t>What it gives us</t>
  </si>
  <si>
    <t>Core_SUBM (submissions)</t>
  </si>
  <si>
    <t>YES</t>
  </si>
  <si>
    <t>SUBM_REF_NUM; FORM_NAME; REF_FORM_TYPE_DESCR; REF_PROGRAM_AREA_DESCR; APP_PRCSS_DUE_DATE; ADMIN_CMPL_DATE; STAT_CHNG_DATE; STAT_CHNG_EFCTV_DATE; RESUBM_DUE_DATE; LatestResubmitDate; RESRC_PROJ_NAME; ASGND_WRKGRP_NAME; ASGND_USER_NAME; PRCSS_HRS_SPENT; TTL_HOLD_DAYS; PCT_HOLD_DAYS; CMPLNT_DESCR; REF_CMPLNT_RESL_TYPE_DESCR; PRCSS_CMNTS; SUBMITTED_BY_USERNAME; SUBMITTED_BY_ACCT_TYPE; VERSN_NUM; LGCY_ID; DESCR; PART_LIST; Link; Days_Between (measure). [RCVD_DATE &amp; STATUS confirmed via Unassigned Submissions report.]</t>
  </si>
  <si>
    <t>The analytical spine: due dates, status-change dates, staff hours, hold days (wait), project name, assignment — per submission.</t>
  </si>
  <si>
    <t>Core_SUBM_HOLD (holds / waiting)</t>
  </si>
  <si>
    <t>START_DATE; END_DATE; Reason; ReverseOrder; DataSetParentType/Id; DataSetUpdatedDt.</t>
  </si>
  <si>
    <t>Every pause with start/end + reason → isolates WAIT time and why.</t>
  </si>
  <si>
    <t>Core_EVT (event log)</t>
  </si>
  <si>
    <t>START_DATE; END_DATE; REF_EVT_CATG_DESCR; REF_EVT_TYPE_DESCR; REF_EVT_SRC_TYPE_DESCR; REF_PROGRAM_AREA_DESCR; CMNTS; DataSet keys.</t>
  </si>
  <si>
    <t>Step-by-step workflow timeline (event categories/types) → reconstruct active processing steps.</t>
  </si>
  <si>
    <t>Report_SUBM_PRCSS_DAYS (processing days)</t>
  </si>
  <si>
    <t>dh_haschildren; CstmSubmPrcssDates* (Max/Submitted/Ref/Link/For/Agg); Custom.CSTM_SUBM_PRCSS_DATES (measure).</t>
  </si>
  <si>
    <t>Pre-built processing-days computation from submission dates.</t>
  </si>
  <si>
    <t>Report_HET_Target90_Hold</t>
  </si>
  <si>
    <t>NAME ONLY</t>
  </si>
  <si>
    <t>(not expanded)</t>
  </si>
  <si>
    <t>Target90 net of hold time — the 'active vs total' view we wanted.</t>
  </si>
  <si>
    <t>Report_HET_CZC_TIMELINE</t>
  </si>
  <si>
    <t>Coastal Zone Consistency clock/timeline.</t>
  </si>
  <si>
    <t>Core_PRMT (permits)</t>
  </si>
  <si>
    <t>NO</t>
  </si>
  <si>
    <t>Permit-level attributes — may hold permit type, project, or flags. UNVERIFIED.</t>
  </si>
  <si>
    <t>Report_EHW_SUBM_SUBM... (x2); Ranges; Table</t>
  </si>
  <si>
    <t>Supporting / report-specific tables.</t>
  </si>
  <si>
    <t>BOTTOM LINE: The static files we were given are a thin, lossy export of this live DataHub warehouse (refreshed daily). The two biggest analytical gaps — work-vs-wait time and staff hours — are already fields in the source (TTL_HOLD_DAYS, PCT_HOLD_DAYS, Core_SUBM_HOLD, PRCSS_HRS_SPENT). The right next step is a row-level extract from Core_SUBM (+ holds/events) across ALL statuses, confirming bureau coverage beyond BOW.</t>
  </si>
  <si>
    <t>Target90 Workspace — Page-by-Page Capture Log (live review on DES 'MiniDES' browser, 6/19/2026)</t>
  </si>
  <si>
    <t>Workspace 'Target90' (group 7a2022b9-...). Status: CAPTURED = data transcribed to Tab 8/9 · ENUMERATED = page visited &amp; listed (same template as a captured page) · BLOCKED = permission denied · UNDER CONSTRUCTION = no data. Screenshots cannot be saved to disk in this environment, so this log + the data tabs are the proof-of-record.</t>
  </si>
  <si>
    <t>Page</t>
  </si>
  <si>
    <t>Status</t>
  </si>
  <si>
    <t>Report refreshed</t>
  </si>
  <si>
    <t>Source URL</t>
  </si>
  <si>
    <t>Target_90 (consolidated)</t>
  </si>
  <si>
    <t>BAQ Dashboard</t>
  </si>
  <si>
    <t>CAPTURED</t>
  </si>
  <si>
    <t>5/14/2026</t>
  </si>
  <si>
    <t>https://app.powerbigov.us/groups/7a2022b9-754f-4540-9bab-c804833283ef/reports/64f9ed4a-9582-4d59-a4a3-678c49cc17cb</t>
  </si>
  <si>
    <t>BRLS Dashboard</t>
  </si>
  <si>
    <t>BCM Dashboard</t>
  </si>
  <si>
    <t>BLWM Dashboard (launchpad)</t>
  </si>
  <si>
    <t>BLWM→Infectious Waste</t>
  </si>
  <si>
    <t>BLWM→Solid Waste</t>
  </si>
  <si>
    <t>BLWM→Mines</t>
  </si>
  <si>
    <t>BLWM→UST</t>
  </si>
  <si>
    <t>BOW Dashboard (launchpad)</t>
  </si>
  <si>
    <t>BOW→Stormwater</t>
  </si>
  <si>
    <t>BOW→Water Quality Division</t>
  </si>
  <si>
    <t>BOW→NPDES</t>
  </si>
  <si>
    <t>BOW→Ag/Dam Safety/Shellfish</t>
  </si>
  <si>
    <t>BOW→Water Monitoring Assessment &amp; Protection</t>
  </si>
  <si>
    <t>BOW→Water/Rec Waters</t>
  </si>
  <si>
    <t>UNDER CONSTRUCTION</t>
  </si>
  <si>
    <t>EIP Dashboard</t>
  </si>
  <si>
    <t>Projects</t>
  </si>
  <si>
    <t>6/19/2026</t>
  </si>
  <si>
    <t>https://app.powerbigov.us/groups/7a2022b9-754f-4540-9bab-c804833283ef/reports/3109c6b5-1cd3-418a-865d-7cd98b3c3f7d</t>
  </si>
  <si>
    <t>Pre-Application Meetings</t>
  </si>
  <si>
    <t>Project Timeline Agreement</t>
  </si>
  <si>
    <t>SW_MS4_Tracking_Report</t>
  </si>
  <si>
    <t>MS4 Processing Timeframes</t>
  </si>
  <si>
    <t>https://app.powerbigov.us/groups/7a2022b9-754f-4540-9bab-c804833283ef/reports/060ff1e3-4866-4388-a2f3-0df363d3de75</t>
  </si>
  <si>
    <t>BOW_Target_90 (standalone)</t>
  </si>
  <si>
    <t>BOW Dashboard</t>
  </si>
  <si>
    <t>ENUMERATED (=consolidated)</t>
  </si>
  <si>
    <t>https://app.powerbigov.us/groups/7a2022b9-754f-4540-9bab-c804833283ef/reports/491e320e-fabf-4c90-aa53-8116e4ec3f1e</t>
  </si>
  <si>
    <t>Ag/Shellfish/Dam Safety</t>
  </si>
  <si>
    <t>Water Quality Division</t>
  </si>
  <si>
    <t>Water Monitoring Assessment</t>
  </si>
  <si>
    <t>Stormwater Hold</t>
  </si>
  <si>
    <t>NPDES Holds</t>
  </si>
  <si>
    <t>ENUMERATED (Hold template)</t>
  </si>
  <si>
    <t>Rec Waters Holds</t>
  </si>
  <si>
    <t>Public Notice Dashboard</t>
  </si>
  <si>
    <t>Permit Timeline Agreement</t>
  </si>
  <si>
    <t>BAQ_Target_90 (standalone)</t>
  </si>
  <si>
    <t>Air Dashboard (In Process)</t>
  </si>
  <si>
    <t>https://app.powerbigov.us/groups/7a2022b9-754f-4540-9bab-c804833283ef/reports/d61fec4d-7729-42ff-a663-c80051b73c43</t>
  </si>
  <si>
    <t>Air Public Notices</t>
  </si>
  <si>
    <t>ENUMERATED (template)</t>
  </si>
  <si>
    <t>Air Pre-Application Meetings</t>
  </si>
  <si>
    <t>Air Project Timeline Agreements</t>
  </si>
  <si>
    <t>Air Active Hold Dashboard</t>
  </si>
  <si>
    <t>Air Energy Infrastructure Projects</t>
  </si>
  <si>
    <t>Air Historical Hold Data</t>
  </si>
  <si>
    <t>BLWM_Target90 (standalone)</t>
  </si>
  <si>
    <t>https://app.powerbigov.us/groups/7a2022b9-754f-4540-9bab-c804833283ef/reports/f4c5d046-ffc4-4ea8-b23b-b9c75bb05754</t>
  </si>
  <si>
    <t>BLWM - Active Holds</t>
  </si>
  <si>
    <t>BLWM - Off Ramps</t>
  </si>
  <si>
    <t>ENUMERATED</t>
  </si>
  <si>
    <t>BLWM - Pre Application</t>
  </si>
  <si>
    <t>BLWM-Public Notices</t>
  </si>
  <si>
    <t>BLWM-Timeframes</t>
  </si>
  <si>
    <t>BRLS_Target_90 (standalone)</t>
  </si>
  <si>
    <t>CAPTURED (differs from consolidated)</t>
  </si>
  <si>
    <t>https://app.powerbigov.us/groups/7a2022b9-754f-4540-9bab-c804833283ef/reports/e61b06d2-a596-4c48-82c8-37274e8ff9bb</t>
  </si>
  <si>
    <t>Processing Times by County</t>
  </si>
  <si>
    <t>BRLS Active Hold Dashboard</t>
  </si>
  <si>
    <t>BRLS Off Ramps</t>
  </si>
  <si>
    <t>BRLS Pre-Application Meetings</t>
  </si>
  <si>
    <t>BRLS 70-90 Day Submissions</t>
  </si>
  <si>
    <t>ENUMERATED (pre-breach warning)</t>
  </si>
  <si>
    <t>BRLS Historical Hold Data</t>
  </si>
  <si>
    <t>Processing Trends</t>
  </si>
  <si>
    <t>Option # Trends</t>
  </si>
  <si>
    <t>BCM_Target_90 (standalone)</t>
  </si>
  <si>
    <t>(all pages)</t>
  </si>
  <si>
    <t>BLOCKED — permission required</t>
  </si>
  <si>
    <t>n/a</t>
  </si>
  <si>
    <t>https://app.powerbigov.us/groups/7a2022b9-754f-4540-9bab-c804833283ef/reports/0e0bfd2e-0368-4385-80a9-df8030fb1c8b</t>
  </si>
  <si>
    <t>External Permitting Transparency Dashboard</t>
  </si>
  <si>
    <t>https://app.powerbigov.us/groups/7a2022b9-754f-4540-9bab-c804833283ef/reports/f65945e9-77c3-4512-a70c-237184d89200</t>
  </si>
  <si>
    <t>BAQ_Target_90.pbix</t>
  </si>
  <si>
    <t>(dashboard tile view)</t>
  </si>
  <si>
    <t>NOT OPENED (dashboard of BAQ report; data via BAQ pages)</t>
  </si>
  <si>
    <t>Totals: 53 report-pages logged across 10 reports — 22 data-captured, 25 enumerated (visited; same template), 2 reports access-blocked (data still captured via consolidated for BCM), 1 under construction, 1 dashboard not opened.</t>
  </si>
  <si>
    <t>Target90 Headline Data — processing timeframes vs the 90-day target, all bureaus (captured 6/19/2026)</t>
  </si>
  <si>
    <t>Source: Target90 workspace dashboards (see Tab 7 for per-page URLs). Days = calendar days. 'Avg Hold' = average days on hold (wait time). Status counts show pending exposure (In Process / On Hold) vs Completed. RED avg = over the 90-day target.</t>
  </si>
  <si>
    <t>⚠ CORRECTION (6/19/2026): the completion figures originally read here were scope-distorted (default dashboard filters). See Tab 10 'Corrected Completion' for the re-derived numbers. Notably Solid Waste is 83% completed (not 17%).</t>
  </si>
  <si>
    <t>Bureau</t>
  </si>
  <si>
    <t>Program / Permit type</t>
  </si>
  <si>
    <t># Subm</t>
  </si>
  <si>
    <t>Avg days</t>
  </si>
  <si>
    <t>Median</t>
  </si>
  <si>
    <t>Max</t>
  </si>
  <si>
    <t>Avg Hold</t>
  </si>
  <si>
    <t>Status mix (pending exposure)</t>
  </si>
  <si>
    <t>Over 90?</t>
  </si>
  <si>
    <t>Air (BAQ)</t>
  </si>
  <si>
    <t>ALL air construction (rollup)</t>
  </si>
  <si>
    <t>Comp 226 / OnHold 2 / InProc 1</t>
  </si>
  <si>
    <t>Y</t>
  </si>
  <si>
    <t>AIR-CP-Synthetic Minor (needs PN+pre-app)</t>
  </si>
  <si>
    <t>AIR-CP-PSD</t>
  </si>
  <si>
    <t>AIR-CP-Minor NSR</t>
  </si>
  <si>
    <t>N</t>
  </si>
  <si>
    <t>Energy Infrastructure Projects (EIP)</t>
  </si>
  <si>
    <t>Comp 1 / InProc 1 / Locked 1</t>
  </si>
  <si>
    <t>mixed</t>
  </si>
  <si>
    <t>Coastal (BCM)</t>
  </si>
  <si>
    <t>ALL (rollup)</t>
  </si>
  <si>
    <t>Comp 6547 / InProc 103 / OnHold 258</t>
  </si>
  <si>
    <t>State Coastal Zone Consistency (CZC)</t>
  </si>
  <si>
    <t>(min -163: data quality)</t>
  </si>
  <si>
    <t>Federal CZC</t>
  </si>
  <si>
    <t>Land&amp;Waste (BLWM)</t>
  </si>
  <si>
    <t>Solid Waste — ALL (landfills)</t>
  </si>
  <si>
    <t>Comp 20 / InProc 99 / OnHold 1</t>
  </si>
  <si>
    <t>LF Class 3 New</t>
  </si>
  <si>
    <t>Mines — ALL</t>
  </si>
  <si>
    <t>Comp 333 / OnHold 15 / InProc 8</t>
  </si>
  <si>
    <t>Mines - General Permit</t>
  </si>
  <si>
    <t>Infectious Waste — Treatment Facility</t>
  </si>
  <si>
    <t>Comp 1</t>
  </si>
  <si>
    <t>UST — ALL</t>
  </si>
  <si>
    <t>Comp 14</t>
  </si>
  <si>
    <t>Water (BOW)</t>
  </si>
  <si>
    <t>Stormwater — ALL</t>
  </si>
  <si>
    <t>Comp 6225 / InProc 149(avg 814) / OnHold 15(avg 759)</t>
  </si>
  <si>
    <t>SW Construction NOI (D2617)</t>
  </si>
  <si>
    <t>SW Industrial NOI (D2611)</t>
  </si>
  <si>
    <t>NPDES — ALL</t>
  </si>
  <si>
    <t>Comp 2577 / InProc 18(avg 882) / OnHold 10</t>
  </si>
  <si>
    <t>WW Construction Permit (D-1970) Construction</t>
  </si>
  <si>
    <t>Water Quality Div — ALL (401/Nav Waters)</t>
  </si>
  <si>
    <t>Comp 1038 / InProc 1</t>
  </si>
  <si>
    <t>WTR-Navigable Waters Individual</t>
  </si>
  <si>
    <t>Ag/Dam/Shellfish — ALL</t>
  </si>
  <si>
    <t>Comp 207 / OnHold 1</t>
  </si>
  <si>
    <t>Dam Construct/Repair/Alter/Remove</t>
  </si>
  <si>
    <t>Water Monitoring — ALL</t>
  </si>
  <si>
    <t>Comp 14447</t>
  </si>
  <si>
    <t>Groundwater Withdrawal Capacity Use</t>
  </si>
  <si>
    <t>Onsite WW (BRLS)</t>
  </si>
  <si>
    <t>ALL (consolidated view)</t>
  </si>
  <si>
    <t>Comp 91729 / InProc 1015 / OnHold 251</t>
  </si>
  <si>
    <t>OSWW Construction Option #1</t>
  </si>
  <si>
    <t>OSWW Operating CONVERSION</t>
  </si>
  <si>
    <t>Oil &amp; Gas Terminal Facility (gauge)</t>
  </si>
  <si>
    <t>Stormwater MS4</t>
  </si>
  <si>
    <t>SW Construction NOI (D2617) — MS4 subset</t>
  </si>
  <si>
    <t>Comp 959 / InProc 76 / OnHold 133 / Locked 28</t>
  </si>
  <si>
    <t>KEY READ: Pending (In Process) items are far slower than completed across every bureau (e.g., Stormwater Completed 119d vs In Process 814d; NPDES Completed 33d vs In Process 882d) — confirming the censoring point. Slowest programs: Solid Waste/landfills (~860d) and Mines (~730d), low volume. Highest-volume pain: Stormwater Construction NOI (5,084 @ 148d) and Coastal Tidelands/CZC. Energy (EIP) tracked separately with a 180-day decision clock. Data-quality flags: negative Min on BCM (-163) and BRLS (-1); BRLS total differs consolidated (93,133) vs standalone (29,674).</t>
  </si>
  <si>
    <t>Target90 — Full Page-by-Page Capture (verbatim notes; every transcribed number)</t>
  </si>
  <si>
    <t># Target90 Workspace — Page-by-Page Capture</t>
  </si>
  <si>
    <t>Workspace: Target90 (group 7a2022b9-754f-4540-9bab-c804833283ef) · browser MiniDES · captured 2026-06-19</t>
  </si>
  <si>
    <t>## REPORT: EIP Dashboard  (report 3109c6b5-1cd3-418a-865d-7cd98b3c3f7d) · Data updated 6/19/2026</t>
  </si>
  <si>
    <t>### Page 1 — Projects</t>
  </si>
  <si>
    <t>- KPIs: Total Completed = 124 ; Total Submissions = 145</t>
  </si>
  <si>
    <t>- Slicers: Filter by Workgroup; Filter by Status; CZC Filter; Submission Received Date 7/1/2025–6/16/2026</t>
  </si>
  <si>
    <t>- Project Managers: Angela D. Vandelay; Benjamin L. Swartz; Brett M. Caswell</t>
  </si>
  <si>
    <t>- SC map of project locations (coast + upstate clusters)</t>
  </si>
  <si>
    <t>- Table cols: Company Name | Site Name | Status | Permit Status | Program Area | Processing Days | MS4 Operator</t>
  </si>
  <si>
    <t xml:space="preserve">  - 4 Carver St Ext GME | Completed | Water-Stormwater | 5</t>
  </si>
  <si>
    <t xml:space="preserve">  - Bear Claw Solar | Completed | In Effect | Water-Stormwater | 95</t>
  </si>
  <si>
    <t xml:space="preserve">  - BEC Substation - Carnes Crossroads | Completed | In Effect | BCM-Coastal Zone Consistency | 55</t>
  </si>
  <si>
    <t xml:space="preserve">  - BEC Substation - Carnes Crossroads | In Process | Water-Stormwater | 30 | BERKELEY</t>
  </si>
  <si>
    <t xml:space="preserve">  - Colleton BESS Project | Completed | In Effect | Water-Navigable Waters &amp; WQC | 0</t>
  </si>
  <si>
    <t xml:space="preserve">  - Cross–Wassamassaw 230kV Transmission Line | Completed | In Effect | Water-Nav Waters &amp; WQC | 0</t>
  </si>
  <si>
    <t xml:space="preserve">  - Dominion–Winnsboro West Substation | Completed | In Effect | Water-Nav Waters &amp; WQC | 0</t>
  </si>
  <si>
    <t xml:space="preserve">  - Dominion Energy River Road Feeder Main | Completed | BCM-Coastal Zone Consistency | 42</t>
  </si>
  <si>
    <t>### Page 2 — Pre-Application Meetings</t>
  </si>
  <si>
    <t>- KPI: 49 Pre-Application Meetings ; SC map</t>
  </si>
  <si>
    <t>- Table cols: Site Name | Company Name | Program Area | Submission Status</t>
  </si>
  <si>
    <t xml:space="preserve">  - Bear Claw Solar | Water-Stormwater | Completed</t>
  </si>
  <si>
    <t xml:space="preserve">  - Bush River Transmission Switchyard &amp; Substation Pad | Duke Energy Carolinas, LLC | Water-Stormwater | Completed</t>
  </si>
  <si>
    <t xml:space="preserve">  - Campfield-Bucksville 230kV | Santee Cooper | Water-Nav Waters &amp; WQC | Completed</t>
  </si>
  <si>
    <t xml:space="preserve">  - Colleton BESS | BCM-Coastal Zone Consistency | In Process</t>
  </si>
  <si>
    <t xml:space="preserve">  - Cordova Solar | LPL Solar, LLC | Water-Stormwater | Completed</t>
  </si>
  <si>
    <t xml:space="preserve">  - Cross–Wassamassaw #2 230kV Transmission Line Project | Water-Nav Waters &amp; WQC | Completed</t>
  </si>
  <si>
    <t xml:space="preserve">  - Cross-Wassamassaw #2 230kV Transmission Line Project (Project) | BCM-Coastal Zone Consistency | Withdrawn</t>
  </si>
  <si>
    <t xml:space="preserve">  - Culpepper Solar Farm Substation | Culpepper Solar, LLC | Water-Stormwater | Completed</t>
  </si>
  <si>
    <t xml:space="preserve">  - Culpepper Solar PV | Culpepper Solar, LLC | Water-Stormwater | Completed</t>
  </si>
  <si>
    <t xml:space="preserve">  - DESC-Winnsboro West Substation | Dominion Energy South Carolina | Water-Stormwater | Completed</t>
  </si>
  <si>
    <t xml:space="preserve">  - DESC Hobcaw - Mt Pleasant Line Relocation For SCDOT | Unspecified | Completed</t>
  </si>
  <si>
    <t xml:space="preserve">  - DESC Ritter to Yemassee Rebuild | BCM-Coastal Zone Consistency | Completed</t>
  </si>
  <si>
    <t>### Page 3 — Project Timeline Agreement</t>
  </si>
  <si>
    <t>- KPIs: 4 Executed Timeline Agreements ; 1 Active Timeline Agreement ; Gantt timeline (Application type)</t>
  </si>
  <si>
    <t>- Table cols: SiteName | PrmtCompanyName | Start Date | End Date | Status | Program | Submission Reference #</t>
  </si>
  <si>
    <t xml:space="preserve">  - Indian Field to Wassamassaw | — | 11/21/2025 | 1/30/2026 | Completed | BCM-CZC | HQA-VXEW-4SHD3</t>
  </si>
  <si>
    <t xml:space="preserve">  - Indian Field to Wassamassaw | — | 11/21/2025 | 1/30/2026 | Completed | BCM-CZC | HQD-DSSE-4WXD3</t>
  </si>
  <si>
    <t xml:space="preserve">  - Indian Field to Wassamassaw | Santee Cooper | 11/21/2025 | 1/30/2026 | Completed | Water-Stormwater | HQB-VG0P-2KM29</t>
  </si>
  <si>
    <t xml:space="preserve">  - Indian Field to Wassamassaw | Santee Cooper | 1/30/2026 | 2/13/2026 | Completed | Water-Stormwater | HQB-VG0P-2KM29</t>
  </si>
  <si>
    <t xml:space="preserve">  - Duke Anderson Turbine Station | — | 5/22/2026 | 10/22/2026 | Locked for Review | Air | HQH-8E49-RZBQN</t>
  </si>
  <si>
    <t>## REPORT: Target_90 (consolidated)  (report 64f9ed4a-9582-4d59-a4a3-678c49cc17cb) · Data updated 5/14/2026</t>
  </si>
  <si>
    <t>Pages: BAQ Dashboard | BRLS Dashboard | BCM Dashboard | BLWM Dashboard | BOW Dashboard (nav) → BOW drilldowns</t>
  </si>
  <si>
    <t>### Page — BAQ Dashboard ("BAQ Processing Timeframes by Construction Permit Type", Target 90 &gt;90)</t>
  </si>
  <si>
    <t>- KPIs: # Submissions 229 ; Average 99.22 ; Median 71.00 ; Min 4.00 ; Max 1144.00</t>
  </si>
  <si>
    <t>- Status split: Completed AVG 91.11 / Count 226 ; On Hold AVG 493.00 / Count 2 ; In Process AVG 1144.00 / Count 1 ; Total 99.22 / 229</t>
  </si>
  <si>
    <t>- Slicers: Submission Received Date 1/1/2023–10/22/2025 ; Action Type ; Submission Assigned User</t>
  </si>
  <si>
    <t>- Air Permit Types — Type | #SUBM | AVG | MED | MIN | MAX | SD | Avg Hold</t>
  </si>
  <si>
    <t xml:space="preserve">  - AIR-GCP-Synthetic Minor Concrete | 1 | 70.00 | 70 | 70 | 70 | 0.00 | —</t>
  </si>
  <si>
    <t xml:space="preserve">  - AIR-CP-PSD | 5 | 232.40 | 228 | 142 | 295 | 53.83 | 69.80</t>
  </si>
  <si>
    <t xml:space="preserve">  - AIR-GCP-Synthetic Minor Asphalt | 5 | 79.80 | 81 | 20 | 132 | 38.19 | 27.60</t>
  </si>
  <si>
    <t xml:space="preserve">  - AIR-GCP-Minor NSR Concrete | 12 | 44.75 | 30 | 4 | 100 | 32.31 | 13.22</t>
  </si>
  <si>
    <t xml:space="preserve">  - AIR-CP-Synthetic Minor | 59 | 159.95 | 117 | 31 | 1144 | 157.46 | 70.74  (Requires PN &amp; Pre-Application Meeting)</t>
  </si>
  <si>
    <t xml:space="preserve">  - AIR-CP-Minor NSR | 147 | 75.62 | 52 | 7 | 490 | 72.38 | 36.24  (No PN or Pre-Application Meeting Req)</t>
  </si>
  <si>
    <t>- Gauges vs 90: AIR-CP-Synthetic Minor 159.95 (red) ; AIR-CP-Minor NSR 75.62 (orange) ; Air-GCP 55.89 (gold) ; AIR-CP-112(g) blank</t>
  </si>
  <si>
    <t>### Page — BOW Dashboard (navigation launchpad) → tiles:</t>
  </si>
  <si>
    <t xml:space="preserve">  - BOW - Water/Rec Waters (EFIS Data) [Under Construction] ; BOW - Water Quality Division ; BOW - Water Monitoring Assessment &amp; Protection Division ; BOW - Ag/Dam Safety/Shellfish ; BOW - Stormwater ; BOW - NPDES</t>
  </si>
  <si>
    <t>### Page — BOW drilldown: Stormwater ("Stormwater Processing Timeframes by Permit Category", Target 90 &gt;90)</t>
  </si>
  <si>
    <t>- KPIs: # Submissions 6389 ; Average 137.43 ; Median 30 ; Min 0 ; Max 1213</t>
  </si>
  <si>
    <t>- Status split: Completed AVG 119.75 / Count 6225 ; In Process AVG 813.77 / Count 149 ; On Hold AVG 758.53 / Count 15 ; Total 137.43 / 6389</t>
  </si>
  <si>
    <t>- Slicers: Received Date 1/1/2023–8/22/2025 ; Permit Category ; Assigned Workgroup</t>
  </si>
  <si>
    <t>- Stormwater Permits — FORM_NAME | #SUBM | AVG | MED | MIN | MAX | SD | Avg Hold</t>
  </si>
  <si>
    <t xml:space="preserve">  - Industrial No Exposure Certification (NEC) (D 2616) | 168 | 64.84 | 36 | 0 | 1101 | 120.32 | 35.4</t>
  </si>
  <si>
    <t xml:space="preserve">  - Industrial Notice of Intent (NOI) (D 2611) | 252 | 200.47 | 109 | 0 | 684 | 186.52 | 56.3</t>
  </si>
  <si>
    <t xml:space="preserve">  - NOI - Construction Activities (D 2617) | 5084 | 148.15 | 39 | 0 | 1196 | 215.99 | 81.0</t>
  </si>
  <si>
    <t xml:space="preserve">  - NOI - Individual Lot NOI (D 0432) | 786 | 70.99 | 9 | 0 | 1213 | 198.50 | 22.4</t>
  </si>
  <si>
    <t xml:space="preserve">  - NOI - SCDOT Construction Activities | 99 | 77.48 | 14 | 0 | 920 | 159.96 | 63.9</t>
  </si>
  <si>
    <t>- Gauges vs 90: NEC 64.84 ; Industrial NOI 200.47 ; Individual Lot 88.46 ; NOI Construction 144.66 ; Construction DOT 46.04</t>
  </si>
  <si>
    <t>### Page — BRLS Dashboard ("BRLS Processing Timeframes by Permit Category &amp; Submission Action Type", Target 90 &gt;90)</t>
  </si>
  <si>
    <t>- KPIs: # Submissions 93.13K ; Avg Processing Days 19.16 ; Median 7.00 ; Min -1.00 (DATA QUALITY: negative) ; Max 1211.00</t>
  </si>
  <si>
    <t>- Status split: Completed AVG 19.03 / 91,729 ; In Process AVG 22.51 / 1,015 ; On Hold AVG 32.77 / 251 ; Received AVG 15.68 / 130 ; Locked for Review AVG 672.13 / 8 ; Total 19.16 / 93,133</t>
  </si>
  <si>
    <t>- Slicers: Received Date 1/17/2023–5/12/2026 ; Assigned Workgroup ; Permit Category ; Permit Type ; Action Type</t>
  </si>
  <si>
    <t>- Table Permit Category | #SUBM | AVG | MED | MIN | MAX | SD | Avg Hold</t>
  </si>
  <si>
    <t xml:space="preserve">  - OSWW Installer Tier 1 | 65 | 2.12 | 0 | 0 | 28 | 4.87 | —</t>
  </si>
  <si>
    <t xml:space="preserve">  - OSWW Installer Tier 2 | 4295 | 1.89 | 0 | 0 | 642 | 18.93 | 25.57</t>
  </si>
  <si>
    <t xml:space="preserve">  - OSWW Installer Tier 3 | 383 | 3.78 | 0 | 0 | 757 | 43.10 | 9.20</t>
  </si>
  <si>
    <t xml:space="preserve">  - OSWW Pumper/Hauler | 1373 | 1.86 | 0 | 0 | 330 | 16.86 | 14.75</t>
  </si>
  <si>
    <t xml:space="preserve">  - BEHS-OSWW Manufacturers | 12 | 12.92 | 8 | 0 | 35 | 13.60 | —</t>
  </si>
  <si>
    <t xml:space="preserve">  - OSWW Construction Permit / (unspec) | 49 | 36.14 | 6 | 0 | 535 | 89.96 | 1.67</t>
  </si>
  <si>
    <t xml:space="preserve">  - OSWW Construction / CONVERSION | 590 | 24.94 | 6 | 0 | 1211 | 97.03 | 59.17</t>
  </si>
  <si>
    <t xml:space="preserve">  - OSWW Construction / Option #1 | 22161 | 43.48 | 30 | 0 | 1186 | 52.03 | 18.37</t>
  </si>
  <si>
    <t xml:space="preserve">  - OSWW Construction / Option #2 | 8212 | 15.23 | 6 | 0 | 419 | 31.83 | 26.08</t>
  </si>
  <si>
    <t xml:space="preserve">  - OSWW Construction / Option #3 | 22906 | 8.58 | 7 | 0 | 656 | 16.75 | 9.27</t>
  </si>
  <si>
    <t xml:space="preserve">  - OSWW Construction / Option #4 | 20 | 30.10 | 9 | 0 | 154 | 43.37 | 17.86</t>
  </si>
  <si>
    <t xml:space="preserve">  - OSWW Construction / Option #5 | 31 | 33.03 | 26 | 1 | 134 | 34.28 | 60.00</t>
  </si>
  <si>
    <t xml:space="preserve">  - OSWW Operating / (unspec) | 4188 | 15.69 | 4 | -1 | 183 | 29.65 | 3.19</t>
  </si>
  <si>
    <t xml:space="preserve">  - OSWW Operating / CONVERSION | 28380 | 13.86 | 5 | 0 | 937 | 36.71 | 46.52</t>
  </si>
  <si>
    <t xml:space="preserve">  - OSWW Operating / Option #1 | 327 | 21.91 | 5 | 0 | 532 | 43.88 | 10.11</t>
  </si>
  <si>
    <t xml:space="preserve">  - (table continues: Operating Option #2/#3/#4, Oil &amp; Gas Terminal Facil.)</t>
  </si>
  <si>
    <t>- Gauges vs 90: BEHS-OSWW Permit 20.35 ; OSWW Manufacturers 12.92 ; OSWW Contractors 2.00 ; Oil &amp; Gas Terminal Facil. 118.57 (red)</t>
  </si>
  <si>
    <t>### Page — BCM Dashboard ("BCM Processing Timeframes by Form Name/Submission Action Type", Target 90 &gt;90)</t>
  </si>
  <si>
    <t>- KPIs: # Submissions 6908 ; Average 101.92 ; Median 44 ; Min -163 (DATA QUALITY: large negative) ; Max 1228</t>
  </si>
  <si>
    <t>- Status split: Completed AVG 76.76 / 6547 ; In Process AVG 646.44 / 103 ; On Hold AVG 522.88 / 258 ; Total 101.92 / 6908</t>
  </si>
  <si>
    <t>- Slicers: Received Date 1/1/2023–8/22/2025 ; Form Name ; Action Type</t>
  </si>
  <si>
    <t>- CZC Service Request Reviews — Form | #SUBM | AVG | MED | MIN | MAX | SD | Avg Hold</t>
  </si>
  <si>
    <t xml:space="preserve">  - BCM Federal Coastal Zone Consistency Certification Request | 129 | 63.36 | 26 | 0 | 440 | 86.28 | 112.67</t>
  </si>
  <si>
    <t xml:space="preserve">  - BCM State Coastal Zone Consistency Certification Request | 898 | 138.50 | 90 | -163 | 859 | 137.07 | 200.95</t>
  </si>
  <si>
    <t>- BCM Critical Area Activities — Action Type | #SUBM | AVG | MED | MIN | MAX | SD | Avg Hold</t>
  </si>
  <si>
    <t xml:space="preserve">  - BCM CA In-House Amendment | 62 | 47.44 | 7 | 0 | 886 | 132.36 | 7.00</t>
  </si>
  <si>
    <t xml:space="preserve">  - Beachfront Emergency Order | 10 | 42.70 | 18 | 1 | 290 | 83.01 | 275.00</t>
  </si>
  <si>
    <t xml:space="preserve">  - Beachfront General Permit | 35 | 95.60 | 44 | 11 | 608 | 128.25 | 260.00</t>
  </si>
  <si>
    <t xml:space="preserve">  - Beachfront Maintenance and Repair | 8 | 88.13 | 26 | 6 | 552 | 175.61 | 466.00</t>
  </si>
  <si>
    <t xml:space="preserve">  - Beachfront Major Action | 11 | 281.82 | 253 | 57 | 535 | 157.73 | 136.14</t>
  </si>
  <si>
    <t xml:space="preserve">  - Beachfront Minor Action | 4 | 74.50 | 58 | 9 | 173 | 60.35 | 23.50</t>
  </si>
  <si>
    <t xml:space="preserve">  - Beachfront Notification | 25 | 83.92 | 45 | 0 | 673 | 134.05 | 290.50</t>
  </si>
  <si>
    <t xml:space="preserve">  - Critical Line Delineation | 3469 | 83.70 | 32 | 0 | 1228 | 160.27 | 78.96</t>
  </si>
  <si>
    <t xml:space="preserve">  - Extension | 2 | 8.00 | 8 | 1 | 15 | 7.00 | —</t>
  </si>
  <si>
    <t xml:space="preserve">  - Modification | 147 | 39.25 | 14 | 0 | 1218 | 139.96 | 16.44</t>
  </si>
  <si>
    <t xml:space="preserve">  - Permit Transfer | 51 | 11.45 | 6 | 0 | 168 | 23.52 | 5.27</t>
  </si>
  <si>
    <t xml:space="preserve">  - Tidelands General Permit | 33 | 84.91 | 48 | 16 | 641 | 112.89 | 45.65</t>
  </si>
  <si>
    <t xml:space="preserve">  - Tidelands Letter of Authorization | 19 | 24.37 | 16 | 9 | 57 | 15.41 | 1.00</t>
  </si>
  <si>
    <t xml:space="preserve">  - Tidelands Maintenance and Repair | 376 | 44.27 | 23 | 0 | 1148 | 89.09 | 38.73</t>
  </si>
  <si>
    <t xml:space="preserve">  - Tidelands Major Action | 214 | 282.26 | 197 | 0 | 1218 | 250.31 | 199.42</t>
  </si>
  <si>
    <t xml:space="preserve">  - Tidelands Major Amendment | 23 | 114.87 | 84 | 24 | 414 | 105.86 | 75.29</t>
  </si>
  <si>
    <t xml:space="preserve">  - Tidelands Minor Action | 1315 | 131.32 | 90 | 0 | 1093 | 138.12 | 100.19</t>
  </si>
  <si>
    <t xml:space="preserve">  - Tidelands Minor Amendment | 77 | 80.94 | 49 | 6 | 475 | 82.50 | 68.47</t>
  </si>
  <si>
    <t>- Gauges vs 90: BCM-Coastal Zone Consistency 129.06 (red) ; BCM-Critical Area 97.18 (red)</t>
  </si>
  <si>
    <t>### Page — BLWM Dashboard (navigation launchpad) → tiles: LWM - Infectious Waste ; LWM - Solid Waste ; LWM - Mines ; LWM - UST</t>
  </si>
  <si>
    <t>#### BLWM drilldown — LWM Infectious Waste ("Infectious Waste Processing Timeframes by Submission Form Name", Target 90)</t>
  </si>
  <si>
    <t>- KPIs: # Submissions 1 ; Average 0.00 ; Median 0 ; Min 0 ; Max 0 ; Status: Completed 0.00/1 ; Total 0.00/1</t>
  </si>
  <si>
    <t>- Slicers: Received 1/1/2020–7/31/2025 ; Form Name ; Assigned Workgroup ; Assigned Processor</t>
  </si>
  <si>
    <t>- Table: LWM-IW Facility / Infectious Waste Treatment Facility Application | 1 | 0.00 | 0 | 0 | 0 | 0.00 | —</t>
  </si>
  <si>
    <t>- NOTE: only the IW Treatment Facility permit is Target90-tracked here; high-volume IW registrations/renewals are not in this view.</t>
  </si>
  <si>
    <t>#### BLWM drilldown — LWM Solid Waste ("Solid Waste Processing Timeframes by Submission Action Type", Target 90)</t>
  </si>
  <si>
    <t>- KPIs: # Submissions 120 ; Average 864.22 ; Median 989 ; Min 0 ; Max 1113</t>
  </si>
  <si>
    <t>- Status split: Completed AVG 315.15 / 20 ; In Process AVG 972.63 / 99 ; On Hold AVG 1113.00 / 1 ; Total 864.22 / 120</t>
  </si>
  <si>
    <t>- Slicers: Received 1/1/2023–10/21/2025 ; Action Type ; Assigned Workgroup ; Assigned Processor</t>
  </si>
  <si>
    <t>- Table Action Type | #SUBM | AVG | MED | MIN | MAX | SD | Avg Hold</t>
  </si>
  <si>
    <t xml:space="preserve">  - LF Class 2 Major Modification | 11 | 377.55 | 335 | 146 | 808 | 182.71 | 35.00</t>
  </si>
  <si>
    <t xml:space="preserve">  - LF Class 2 New | 72 | 953.72 | 990 | 0 | 1065 | 157.02 | 117.00</t>
  </si>
  <si>
    <t xml:space="preserve">  - LF Class 3 Major Modification | 3 | 579.67 | 465 | 161 | 1113 | 397.02 | 483.50</t>
  </si>
  <si>
    <t xml:space="preserve">  - LF Class 3 New | 29 | 960.79 | 993 | 45 | 1066 | 180.47 | —</t>
  </si>
  <si>
    <t xml:space="preserve">  - Solid Waste Processing New | 1 | 370.00 | 370 | 370 | 370 | 0.00 | 63.00</t>
  </si>
  <si>
    <t xml:space="preserve">  - Transfer Station New | 4 | 228.25 | 134 | 56 | 590 | 211.25 | 145.67</t>
  </si>
  <si>
    <t>- All gauges red (&gt;&gt;90). Slowest program: landfills ~950+ days; 99 of 120 In Process (pending).</t>
  </si>
  <si>
    <t>#### BLWM drilldown — LWM Mines ("Mines Processing Timeframes by Submission Action Type", Target 90)</t>
  </si>
  <si>
    <t>- KPIs: # Submissions 357 ; Average 733.19 ; Median 310 ; Min 0 ; Max 2320</t>
  </si>
  <si>
    <t>- Status split: Locked for Review 304.00 / 1 ; In Process 535.25 / 8 ; On Hold 621.93 / 15 ; Completed 744.24 / 333 ; Total 733.19 / 357</t>
  </si>
  <si>
    <t>- Slicers: Received 1/1/2020–7/22/2025 ; Action Type ; Assigned Processor</t>
  </si>
  <si>
    <t>- Table Action Type | Count | AVG | MED | MIN | MAX | SD | Avg Hold</t>
  </si>
  <si>
    <t xml:space="preserve">  - MINES - Minor Mod | 121 | 666.14 | 182 | 0 | 2316 | 816.53 | 154.71</t>
  </si>
  <si>
    <t xml:space="preserve">  - MINES - General Permit | 136 | 959.57 | 437 | 0 | 2320 | 881.67 | 125.72</t>
  </si>
  <si>
    <t xml:space="preserve">  - MINES - Individual Permit | 59 | 342.85 | 275 | 0 | 1044 | 241.34 | 212.63</t>
  </si>
  <si>
    <t xml:space="preserve">  - MINES - Substantial Mod | 41 | 741.83 | 404 | 3 | 2299 | 695.04 | 237.00</t>
  </si>
  <si>
    <t>- All gauges red (660–960 day avgs; max 2320). Low volume (357).</t>
  </si>
  <si>
    <t>#### BLWM drilldown — LWM UST ("UST Processing Timeframes by Submission Form Name", Target 90)</t>
  </si>
  <si>
    <t>- KPIs: # Submissions 14 ; Average 2.86 ; Median 0 ; Min 0 ; Max 33 ; Status: Completed 2.86 / 14 ; Total 2.86 / 14</t>
  </si>
  <si>
    <t>- Slicers: Received 5/12/2025–7/31/2025 (narrow window) ; Form Name ; Assigned Processor (Richard K. LaRoche, Courtney H. Evans)</t>
  </si>
  <si>
    <t>- Table: LWM-UST Application for Permit to Install (Master) | 10 | 3.40 | 0 | 0 | 33 | 9.87 | — ;  LWM-UST Permit to Operate (Master) | 4 | 1.50 | 1 | 0 | 5 | 2.06 | —</t>
  </si>
  <si>
    <t>- Gauges green (well under 90).</t>
  </si>
  <si>
    <t>#### BOW drilldown — Water Quality Division ("Water Quality Division Processing Timeframes by Permit Category", Target 90)</t>
  </si>
  <si>
    <t>- KPIs: # Submissions 1039 ; Average 33.61 ; Median 2 ; Min 0 ; Max 451 ; Status: Completed 33.26 / 1038 ; In Process 401.00 / 1 ; Total 33.61 / 1039</t>
  </si>
  <si>
    <t>- Slicers: Received 1/1/2023–7/22/2025 ; Permit Category ; Assigned Workgroup</t>
  </si>
  <si>
    <t>- Navigable Waters Permits &amp; 401 Certifications — Category | #SUBM | AVG | MED | MIN | MAX | SD | Avg Hold</t>
  </si>
  <si>
    <t xml:space="preserve">  - WTR-401 Certification | 647 | 29.74 | 0 | 0 | 401 | 76.42 | 79.12</t>
  </si>
  <si>
    <t xml:space="preserve">  - WTR-Navigable Waters GP authorization | 303 | 16.97 | 10 | 0 | 172 | 23.31 | 19.50</t>
  </si>
  <si>
    <t xml:space="preserve">  - WTR-Navigable Waters Individual | 83 | 110.47 | 98 | 0 | 451 | 64.94 | 24.80</t>
  </si>
  <si>
    <t xml:space="preserve">  - WTR-Navigable Waters/ Section 10 | 6 | 228.33 | 190 | 56 | 442 | 142.18 | 23.50</t>
  </si>
  <si>
    <t>- Gauges: 401 Cert 29.74 (green) ; Nav Waters GP 16.97 (green) ; Nav Waters Individual 110.47 (red) ; Section 10 228.33 (red)</t>
  </si>
  <si>
    <t>#### BOW drilldown — NPDES ("NPDES Processing Timeframes by Permit Category", Target 90)</t>
  </si>
  <si>
    <t>- KPIs: # Submissions 2605 ; Average 41.39 ; Median 13 ; Min 0 ; Max 1151 ; Status: Completed 32.92 / 2577 ; In Process 882.11 / 18 ; On Hold 710.20 / 10 ; Total 41.39 / 2605</t>
  </si>
  <si>
    <t>- Slicers: Received 1/1/2023–7/31/2025 ; Submission Assigned Workgroup ; Form Name</t>
  </si>
  <si>
    <t>- NPDES Permitting Applications — Form Name | #SUBM | AVG | MED | MIN | MAX | SD | Avg Hold</t>
  </si>
  <si>
    <t xml:space="preserve">  - Coverage: General Construction Permit WW Collection Systems (D-1794) New | 1 | 0.00 | 0 | 0 | 0 | 0.00 | 22.00</t>
  </si>
  <si>
    <t xml:space="preserve">  - Construction Permit App WW Facilities - CONSTRUCTION (D-1970) | 2086 | 24.58 | 11 | 0 | 658 | 49.36 | 27.35</t>
  </si>
  <si>
    <t xml:space="preserve">  - Construction Permit App WW Facilities - Domestic (D-1970) | 141 | 125.72 | 77 | 6 | 1042 | 158.07 | 66.53</t>
  </si>
  <si>
    <t xml:space="preserve">  - Construction Permit App WW Facilities - Industrial (D-1970) | 68 | 113.12 | 70 | 10 | 1008 | 161.22 | 72.38</t>
  </si>
  <si>
    <t xml:space="preserve">  - Construction Permit App WW Facilities - State Revolving Fund (D-1970) | 27 | 119.19 | 50 | 12 | 695 | 174.49 | 90.87</t>
  </si>
  <si>
    <t xml:space="preserve">  - Dept Initiated Permit Action Form - (Internal New Application) | 35 | 177.77 | 18 | 0 | 1151 | 334.90 | 336.00</t>
  </si>
  <si>
    <t xml:space="preserve">  - NOI: General Construction Permit WW Collection Systems (D-1793) New | 95 | 1.20 | 0 | 0 | 17 | 2.47 | 4.00</t>
  </si>
  <si>
    <t xml:space="preserve">  - NPDES GENERAL Permit Group - New | 123 | 101.96 | 58 | 0 | 1079 | 177.23 | 14.55</t>
  </si>
  <si>
    <t xml:space="preserve">  - Application ND Domestic - New | 2 | 704.50 | 705 | 398 | 1011 | 306.50 | —</t>
  </si>
  <si>
    <t xml:space="preserve">  - Application ND Industrial - New | 2 | 241.00 | 241 | 159 | 323 | 82.00 | 42.00</t>
  </si>
  <si>
    <t xml:space="preserve">  - Application NPDES Domestic/Municipal - New | 2 | 399.50 | 400 | 160 | 639 | 239.50 | 274.50</t>
  </si>
  <si>
    <t xml:space="preserve">  - Monitoring Well Application (D-3736) | 22 | 281.18 | 28 | 0 | 968 | 380.31 | —</t>
  </si>
  <si>
    <t xml:space="preserve">  - NOI NPDES GP Discharges from Petroleum Contaminated Groundwater - New | 1 | 162.00 | 162 | 162 | 162 | 0.00 | 136.00</t>
  </si>
  <si>
    <t>- Gauge: NPDES 41.39 (gold)</t>
  </si>
  <si>
    <t>#### BOW drilldown — Ag/Dam Safety/Shellfish ("Agricultural/Dam Safety/Shellfish Processing Timeframes by Permit Category", Target 90)</t>
  </si>
  <si>
    <t>- KPIs: # Submissions 208 ; Average 71.15 ; Median 21 ; Min 0 ; Max 1219 ; Status: Completed 68.88 / 207 ; On Hold 542.00 / 1 ; Total 71.15 / 208</t>
  </si>
  <si>
    <t>- Slicers: Received 1/1/2023–8/22/2025 ; Permit Category ; Form Name ; Assigned Workgroup</t>
  </si>
  <si>
    <t>- Agricultural — Category | #SUBM | AVG | MED | MIN | MAX | SD | Avg Hold</t>
  </si>
  <si>
    <t xml:space="preserve">  - WTR-Agricultural Facility (Non-Swine) | 9 | 124.33 | 84 | 21 | 542 | 150.65 | 99.00</t>
  </si>
  <si>
    <t xml:space="preserve">  - WTR-Agricultural Waste Handling | 89 | 24.60 | 14 | 2 | 178 | 31.49 | 42.82</t>
  </si>
  <si>
    <t xml:space="preserve">  - WTR-Agricultural Applier/Broker | 50 | 22.60 | 19 | 7 | 67 | 10.16 | 20.00</t>
  </si>
  <si>
    <t>- Dam Safety — Application to Construct/Repair/Alter/Remove a Dam | 48 | 179.31 | 114 | 1 | 991 | 190.83 | 201.45</t>
  </si>
  <si>
    <t>- Shellfish — Application for Shellfish Sanitation Program Permits &amp; Certificates (D-1957) New | 12 | 146.25 | 13 | 0 | 1219 | 338.92 | —</t>
  </si>
  <si>
    <t>- Gauges: Water-Agriculture 29.99 (green) ; Water-Dams 179.31 (red) ; Water-Shellfish 146.25 (red)</t>
  </si>
  <si>
    <t>#### BOW drilldown — Water Monitoring Assessment &amp; Protection Division ("Processing Timeframes by Permit Category", Target 90)</t>
  </si>
  <si>
    <t>- KPIs: # Submissions 14.49K ; Average 5.14 ; Median 1 ; Min 0 ; Max 1177 ; Status: Completed 4.33 / 14,447 ; On Hold 571.67 / 1 ; In Process 763.00 / 1 ; Total 5.14 / ~14,495</t>
  </si>
  <si>
    <t>- Slicers: Received 1/1/2023–7/22/2025 ; Program Area ; Permit Category ; Assigned Workgroup</t>
  </si>
  <si>
    <t>- UIC Permits — Category | #SUBM | AVG | MED | MIN | MAX | SD | Avg Hold</t>
  </si>
  <si>
    <t xml:space="preserve">  - WTR - Underground Injection Construction | 79 | 77.61 | 35 | 1 | 875 | 134.57 | 23.67</t>
  </si>
  <si>
    <t xml:space="preserve">  - WTR - Underground Injection Operating | 27 | 41.19 | 11 | 0 | 418 | 84.10 | 26.00</t>
  </si>
  <si>
    <t>- Groundwater/Surface Water Withdrawal — Category | #SUBM | AVG | MED | MIN | MAX | SD | Avg Hold</t>
  </si>
  <si>
    <t xml:space="preserve">  - WTR-Surface Water Withdrawal Permit | 1 | 6.00 | 6 | 6 | 6 | 0.00 | —</t>
  </si>
  <si>
    <t xml:space="preserve">  - WTR-Surface Water Withdrawal Agricultural Registration | 5 | 35.80 | 12 | 0 | 144 | 54.36 | —</t>
  </si>
  <si>
    <t xml:space="preserve">  - WTR-Groundwater Withdrawal Capacity Use Area Permit | 359 | 105.35 | 22 | 0 | 1177 | 185.81 | 256.57</t>
  </si>
  <si>
    <t>- Private Wells — WTR-Private Well | 13995 | 1.85 | 1 | 0 | 179 | 4.68 | —</t>
  </si>
  <si>
    <t>- Gauges: Water-UIC 68.33 (orange) ; Water-Groundwater Withdrawal 104.12 (red) ; Water-Private Wells 1.85 (green)</t>
  </si>
  <si>
    <t>#### BOW drilldown — Water/Rec Waters (EFIS Data) — UNDER CONSTRUCTION: page renders blank (no data). [confirmed]</t>
  </si>
  <si>
    <t>## REPORT: External Permitting Transparency Dashboard- Internal Copy  (report f65945e9-77c3-4512-a70c-237184d89200)</t>
  </si>
  <si>
    <t>- ACCESS BLOCKED: "Permission required — You cannot see the content of this report because you do not have permissions to the underlying dataset. Please contact the dataset owner to request access." (Not captured — flagged for Brett.)</t>
  </si>
  <si>
    <t>## REPORT: SW_MS4_Tracking_Report  (report 060ff1e3-4866-4388-a2f3-0df363d3de75) · Data updated 5/14/2026</t>
  </si>
  <si>
    <t>### Page — MS4 Processing Timeframes (Target 90; toggles T90&gt;90 / &gt;90)</t>
  </si>
  <si>
    <t>- KPIs: # Submissions 1196 ; Average 51.94</t>
  </si>
  <si>
    <t>- Status split: Completed 30.25 / 959 ; In Process 161.62 / 76 ; Locked for Review 120.71 / 28 ; On Hold 131.18 / 133 ; Total 51.94 / 1196</t>
  </si>
  <si>
    <t>- Slicers: Received 7/1/2025–3/27/2026 ; MS4 Reviewer ; Other Implementing Agency Reviewer ; Other Implementing Agency Operator ; Assigned Workgroup ; Site County ; Submission Status ; Permit Status ; Event Type ; MS4 Operator</t>
  </si>
  <si>
    <t xml:space="preserve">  - Stormwater Notice of Intent (NOI) - Construction Activities (D 2617) | 1196 | 51.94 | 16 | 0 | 316 | 67.08 | 25.01</t>
  </si>
  <si>
    <t>- ArcGIS map (SiteCnty/Latitude/Longitude); "Powered by Esri"; data: Aiken County Government, Esri, etc.</t>
  </si>
  <si>
    <t>## REPORT: BOW_Target_90 (standalone)  (report 491e320e-fabf-4c90-aa53-8116e4ec3f1e) · Data updated 6/19/2026</t>
  </si>
  <si>
    <t>PAGE INVENTORY (10): BOW Dashboard | Ag/Shellfish/Dam Safety | Stormwater Hold | Water Quality Division | NPDES Holds | Water Monitoring Assessment | Permit Timeline Agreement | Public Notice Dashboard | Pre-Application Meetings | Rec Waters Holds</t>
  </si>
  <si>
    <t>- NOTE: BOW Dashboard + the program drilldowns (Stormwater, Water Quality, NPDES, Ag/Dam/Shellfish, Water Monitoring) match the consolidated Target_90 capture above. UNIQUE pages captured below: Holds, Public Notice, Permit Timeline Agreement, Pre-Application Meetings.</t>
  </si>
  <si>
    <t>### BOW_Target_90 Page — Stormwater Hold Dashboard</t>
  </si>
  <si>
    <t>- KPIs: # Submissions 68 ; Avg Hold Days 12.42 ; Median 46 ; Min 1.00 ; Max 73.00</t>
  </si>
  <si>
    <t>- Hold REASON breakdown — Reason | Count | % of total | Avg Hold Days</t>
  </si>
  <si>
    <t xml:space="preserve">  - Correction Request for Electronic Submission | 46 | 67.65% | 14.75</t>
  </si>
  <si>
    <t xml:space="preserve">  - Correction Request - Response Received | 30 | 44.12% | 8.66</t>
  </si>
  <si>
    <t xml:space="preserve">  - Correspondence | 4 | 5.88% | 9.75</t>
  </si>
  <si>
    <t xml:space="preserve">  - Email Sent | 4 | 5.88% | 9.75</t>
  </si>
  <si>
    <t xml:space="preserve">  - Additional Information Needed | 3 | 4.41% | 16.33</t>
  </si>
  <si>
    <t xml:space="preserve">  - Total | 68 | 100.00% | 12.42</t>
  </si>
  <si>
    <t>- Form Name (hold days) — Industrial NEC (D2616) 1/3.00 ; Industrial NOI (D2611) 2/7.50 ; NOI Construction (D2617) 64/12.07 (med 6, max 73) ; NOI Individual Lot (D0432) 1/46.00</t>
  </si>
  <si>
    <t>- Slicers: Received 7/1/2025–6/15/2026 ; Permit Category ; Form Name ; Assigned Workgroup ; "Hold Details" drill button</t>
  </si>
  <si>
    <t>- INSIGHT: holds dominated by correction-request (incomplete/electronic-submission) loops — applicant-side wait, not analyst work.</t>
  </si>
  <si>
    <t>### BOW_Target_90 Page — BOW Public Notice and Events Dashboard</t>
  </si>
  <si>
    <t>- KPI: # Public Engagement Activities 6218 ; Date Created range 7/2/2002–11/14/2025</t>
  </si>
  <si>
    <t>- Status Breakdown — STATUS | AVG | Count | % of Total: Completed 273.99 / 5391 / 86.70% ; On Hold 1667.00 / 417 / 6.71% ; In Process 1715.54 / 263 / 4.23% ; Withdrawn 426.50 / 136 / 2.19% ; Cancelled 112.40 / 10 / 0.16% ; Total 431.42 / 6218 / 100%</t>
  </si>
  <si>
    <t>- Table cols: Form Name | Link | Event Type | Submission Number | Public Notice Start | Public Notice End | Comments | Current Processing Days | Assigned Workgroup (rows = public-notice permit-decision events, e.g. Agriculture Land Appliers D-2510, Manure Broker D-2514)</t>
  </si>
  <si>
    <t>- Bottom: Stormwater Permits table (FORM_NAME/#SUBM/AVG/MED/MIN/MAX/SD/Avg Hold) ; "Map" button ; slicers Form Name / Event Type / Assigned Workgroup</t>
  </si>
  <si>
    <t>### BOW_Target_90 Page — BOW Pre-Application Meetings</t>
  </si>
  <si>
    <t>- KPI: # Pre-App Meetings 22 ; Date Created 8/13/2025–5/12/2026</t>
  </si>
  <si>
    <t>- Status Breakdown: Completed 62.84 / 19 / 86.36% ; Locked for Review 122.00 / 1 / 4.55% ; On Hold 136.00 / 1 / 4.55% ; Withdrawn 219.00 / 1 / 4.55% ; Total 75.95 / 22</t>
  </si>
  <si>
    <t>- Table: Form Name | Pre-Application Meeting Date | Submission Number | Comments (rows: Stormwater NOI Construction D2617 — multiple, e.g. HQF-Z9K8-QGR6Q 1/23/2026; HQE-0PDD-37292 8/13/2025 w/ Corps-permit construction-sequence comment)</t>
  </si>
  <si>
    <t>- Stormwater Permits: NOI Construction (D2617) 20 | 66.50 | 53 | 5 | 191 | 51.77 | 32.00 ; Wastewater NPDES General Permit Group New 2 | 170.50 | 171 | 122 | 219 | 48.50 | 108.00</t>
  </si>
  <si>
    <t>- Gauge: Water-Coastal Construction Stormwater Workgroup 75.95</t>
  </si>
  <si>
    <t>### BOW_Target_90 Page — BOW Permit Timeline Agreements</t>
  </si>
  <si>
    <t>- KPIs: # Permit Timeline Agreements 68 ; Average Timeline (Days) 90.87</t>
  </si>
  <si>
    <t>- Status Breakdown: Completed 160.58 / 43 / 63.24% ; In Process 213.33 / 12 / 17.65% ; On Hold 193.82 / 11 / 16.18% ; Withdrawn 220.00 / 2 / 2.94% ; Total 177.01 / 68</t>
  </si>
  <si>
    <t>- Table cols: Form Name | Link | Submission Number | Permit Timeline Start | Permit Timeline End | Comments | Current Processing Days | Total Permitting Timeline | Assigned Workgroup</t>
  </si>
  <si>
    <t xml:space="preserve">  - Navigable Waters Permit App for Construction (D-2065) | HQJ-RZA9-K03SK | 4/22/2026–6/19/2026 | "Dept &amp; Permittee mutually agreed to extension, project taking longer than expected" | 145 | 148</t>
  </si>
  <si>
    <t xml:space="preserve">  - Stormwater NOI Construction (D2617) | HQD-Z3EA-9RRYX | 12/8/2025–6/1/2026 | 304 | 286</t>
  </si>
  <si>
    <t xml:space="preserve">  - Stormwater NOI Construction (D2617) | HQE-9ZPM-PE3BR | 12/9/2025–2/9/2026 | 188 | 152</t>
  </si>
  <si>
    <t>- Gauge: Water-Coastal Construction Stormwater Workgroup 179.88</t>
  </si>
  <si>
    <t>### BOW_Target_90 Pages — NPDES Holds &amp; Rec Waters Holds: same HOLD template (hold-reason breakdown + per-form hold-day stats). [enumerated; same structure as Stormwater Hold]</t>
  </si>
  <si>
    <t>## REPORT: BAQ_Target_90 (standalone, Air)  (report d61fec4d-7729-42ff-a663-c80051b73c43) · Data updated 6/19/2026</t>
  </si>
  <si>
    <t>PAGE INVENTORY (7): Air Dashboard (In Process) | Air Public Notices | Air Pre-Application Meetings | Air Project Timeline Agreements | Air Active Hold Dashboard | Air Energy Infrastructure Projects | Air Historical Hold Data</t>
  </si>
  <si>
    <t>### Page — Air Energy Infrastructure Projects</t>
  </si>
  <si>
    <t>- KPIs: # of EIP 3 ; EIP Projects gauge 75.00 (target line 180) ; Status: Completed 152.00/1/33.33% ; In Process 56.00/1/33.33% ; Locked for Review 17.00/1/33.33% ; Total 75.00/3</t>
  </si>
  <si>
    <t>- Note on page: "All Energy Infrastructure Projects require Pre-Application Meeting. And most will require public notice."</t>
  </si>
  <si>
    <t>- Permit Type: AIR-CP-PSD | 3 | 75.00 | 17 | 152 | 28.00 (avg hold)</t>
  </si>
  <si>
    <t>- Table cols: Site Name | Permit Type | Action Type | Status | EvtRefEvtTypeDescr | Application Complete Date | New Agency Decision Date</t>
  </si>
  <si>
    <t xml:space="preserve">  - Santee Cooper Winyah Generating Station | AIR-CP-PSD | Air-Expedited PSD Class I | Completed | Energy Infrastructure Projects | 11/6/2025 | 5/4/2026</t>
  </si>
  <si>
    <t xml:space="preserve">  - Duke Anderson Turbine Station | AIR-CP-PSD | Air-PSD Non Class I | Locked for Review | Energy Infrastructure Projects | 3/11/2026 | 9/11/2026</t>
  </si>
  <si>
    <t xml:space="preserve">  - Duke Anderson Turbine Station | AIR-CP-PSD | Air-PSD Non Class I | Locked for Review | Off Ramps for Energy Infrastructure Projects | 5/22/2026 | 10/22/2026</t>
  </si>
  <si>
    <t xml:space="preserve">  - Dominion Energy SC Canadys Station | AIR-CP-PSD | Air-PSD Class I | In Process | Energy Infrastructure Projects | 4/24/2026 | 10/24/2026</t>
  </si>
  <si>
    <t>- Other pages (Air Dashboard, Public Notices, Pre-App, Timeline, Active Hold, Historical Hold) follow the BOW-template page types [enumerated]; Air Dashboard data matches consolidated BAQ Dashboard capture.</t>
  </si>
  <si>
    <t>## REPORT: BCM_Target_90 (standalone, Coastal)  (report 0e0bfd2e-0368-4385-80a9-df8030fb1c8b)</t>
  </si>
  <si>
    <t>- ACCESS BLOCKED: "Permission required ... do not have permissions to the underlying dataset." (Bureau-level BCM data IS captured via consolidated "BCM Dashboard" page; standalone extra pages not accessible.)</t>
  </si>
  <si>
    <t>## REPORT: BLWM_Target90 (1) (standalone, Land &amp; Waste)  (report f4c5d046-ffc4-4ea8-b23b-b9c75bb05754) · Data updated 6/19/2026</t>
  </si>
  <si>
    <t>PAGE INVENTORY (6): BLWM Dashboard (launchpad) | BLWM - Active Holds | BLWM - Off Ramps | BLWM - Pre Application | BLWM-Public Notices | BLWM-Timeframes</t>
  </si>
  <si>
    <t>- Launchpad tiles: LWM-Mines | LWM-Solid Waste | LWM-UST | LWM-Active Holds | LWM-Off Ramps | LWM-Pre Applications | BLWM Public Notice | BLWM Timeframes | BLWM Details</t>
  </si>
  <si>
    <t>- Page-level filter confirms TARGET90 DEFINITION: TotalProcessingCalendarDays &gt; 90 ; REF_FORM_TYPE_DESCR = Application or Permit Change ; filters: FORM_NAME, PRMT_TYPE_DESCR, REF_APP_REQST_ACTN_TYPE, REF_PROGRAM_AREA_DESCR</t>
  </si>
  <si>
    <t>- Bureau data (Mines, Solid Waste, UST) captured via consolidated; Holds/Off Ramps/Pre-App/Public Notice/Timeframes pages follow the BOW-template page types [enumerated].</t>
  </si>
  <si>
    <t>## REPORT: BRLS_Target_90 (standalone)  (report e61b06d2-a596-4c48-82c8-37274e8ff9bb) · Data updated 5/14/2026</t>
  </si>
  <si>
    <t>PAGE INVENTORY (9): BRLS Dashboard | Processing Times by County | BRLS Active Hold Dashboard | BRLS Off Ramps | BRLS Pre-Application Meetings | BRLS 70-90 Day Submissions | BRLS Historical Hold Data | Processing Trends | Option # Trends</t>
  </si>
  <si>
    <t>### Page — BRLS Dashboard (standalone)</t>
  </si>
  <si>
    <t>- KPIs: # Submissions 29.67K ; Avg Processing Days 11.05 ; Median 6.00 ; Min 0.00 ; Max 193.00</t>
  </si>
  <si>
    <t>- Status: Completed 8.76 / 25,344 / 85.41% ; Rejected 28.78 / 1,284 / 4.33% ; In Process 12.14 / 1,003 / 3.38% ; Withdrawn 12.95 / 853 / 2.87% ; Cancelled 44.73 / 804 / 2.71% ; On Hold 31.37 / 247 / 0.83% ; Total 11.05 / 29,674</t>
  </si>
  <si>
    <t>- Per-option gauges: BEHS-OSWW Permit 11.80 ; OSWW Manufacturers 6.36 ; OSWW Contractors 0.92 ; Oil &amp; Gas Terminal Facil. 23.00</t>
  </si>
  <si>
    <t>- DATA-CONSISTENCY FLAG: standalone BRLS Dashboard total = 29,674 submissions, but the CONSOLIDATED Target_90 "BRLS Dashboard" page total = 93,133. The two are scoped/filtered differently (standalone excludes ~63k vs consolidated). Needs reconciliation before relying on a single BRLS total.</t>
  </si>
  <si>
    <t>- Other pages (Processing Times by County, Active/Historical Hold, Off Ramps, Pre-Application, 70-90 Day Submissions warning bucket, Processing Trends, Option # Trends) [enumerated; Hold/PreApp follow template; Trends/County/70-90 are unique BRLS analytics].</t>
  </si>
  <si>
    <t>Target90 — CORRECTED Completion by Program (filters cleared / scope documented, 6/19/2026)</t>
  </si>
  <si>
    <t>METHOD: each program re-derived live by opening the Filters pane, documenting scope, and clearing action-type filters where they restricted the population (as in Solid Waste). Counts read from each page's STATUS table. % = Completed / Total. Date windows differ by page (noted). Totals across programs are approximate (overlapping scopes / differing windows).</t>
  </si>
  <si>
    <t>KEY CORRECTION: Solid Waste's default dashboard was filtered to only the 6 SLOWEST major-landfill action types (120 actions), which produced a false 16.7% completion. Cleared to ALL action types = 1,337 actions, 83.0% completed, median 10 days. Mines similarly cleared 357→606. All other programs were already at a reasonable permit-decision scope; their high completion stands.</t>
  </si>
  <si>
    <t>Scope (after clearing)</t>
  </si>
  <si>
    <t>Total</t>
  </si>
  <si>
    <t>Completed</t>
  </si>
  <si>
    <t>% Completed</t>
  </si>
  <si>
    <t>Pending (InProc+Hold+other)</t>
  </si>
  <si>
    <t>Note / verdict</t>
  </si>
  <si>
    <t>OSWW + Oil&amp;Gas, ALL actions</t>
  </si>
  <si>
    <t>Highest volume; fast. Min -1 (1 data-quality negative).</t>
  </si>
  <si>
    <t>Water Monitoring</t>
  </si>
  <si>
    <t>UIC + Withdrawal + Private Wells</t>
  </si>
  <si>
    <t>Private Wells (13,995@1.85d) dominate.</t>
  </si>
  <si>
    <t>Stormwater (new NOI)</t>
  </si>
  <si>
    <t>Construction/Industrial NOI (excl MS4, terminations, mods)</t>
  </si>
  <si>
    <t>Slow tail: 149 in-process avg 814d.</t>
  </si>
  <si>
    <t>Coastal Zone Consistency + Critical Area, all actions</t>
  </si>
  <si>
    <t>Tidelands Major Action slow (~282d) but completes.</t>
  </si>
  <si>
    <t>NPDES</t>
  </si>
  <si>
    <t>New wastewater permit/NOI forms</t>
  </si>
  <si>
    <t>Renewals/DMRs tracked elsewhere.</t>
  </si>
  <si>
    <t>Solid Waste</t>
  </si>
  <si>
    <t>ALL action types (CORRECTED)</t>
  </si>
  <si>
    <t>Was a false 16.7%. Major new/expansion landfills are the slow tail (~950d).</t>
  </si>
  <si>
    <t>MS4 stormwater</t>
  </si>
  <si>
    <t>SW NOI requiring MS4 review (recent ~9mo window)</t>
  </si>
  <si>
    <t>Lower 80% = recent window + 133 on hold awaiting municipal/MS4 review.</t>
  </si>
  <si>
    <t>Water Quality</t>
  </si>
  <si>
    <t>401 Certification + Navigable Waters</t>
  </si>
  <si>
    <t>Full WQ permit set.</t>
  </si>
  <si>
    <t>Mines</t>
  </si>
  <si>
    <t>Substantive mine permits (357) run ~744d but 93% done; +admin = 96%.</t>
  </si>
  <si>
    <t>Air construction (BAQ)</t>
  </si>
  <si>
    <t>Air construction permits (excl Title V/operating)</t>
  </si>
  <si>
    <t>PSD 232d / Synthetic Minor 160d need pre-app+public notice, but complete.</t>
  </si>
  <si>
    <t>Ag/Dam/Shellfish</t>
  </si>
  <si>
    <t>Agriculture + Dam Safety + Shellfish</t>
  </si>
  <si>
    <t>Dam permits ~179d; rest fast.</t>
  </si>
  <si>
    <t>UST</t>
  </si>
  <si>
    <t>Install + Operate master permits</t>
  </si>
  <si>
    <t>Compliance/remediation program; few/fast permit decisions.</t>
  </si>
  <si>
    <t>Infectious Waste</t>
  </si>
  <si>
    <t>Treatment-facility permit only (registrations excluded)</t>
  </si>
  <si>
    <t>REGISTRATION program; not a Target90 permit-decision program.</t>
  </si>
  <si>
    <t>AGENCY-WIDE (approx; overlapping scopes)</t>
  </si>
  <si>
    <t>Sum across permit-decision programs</t>
  </si>
  <si>
    <t>~98% completion agency-wide. Throughput is NOT the problem.</t>
  </si>
  <si>
    <t>BOTTOM LINE: Permit writers ARE getting things out the door — 95–99% completion in nearly every program, ~98% agency-wide. The two sub-90% programs are explained, not failures: Solid Waste (83%) carries the inherently multi-year major-landfill tail; MS4 (80%) is a recent 9-month window plus municipal-review holds. The real, fixable problem is CYCLE TIME on a handful of complex permit types (landfills ~950d, mines ~480–740d, major coastal ~280d, air PSD/synthetic-minor 160–232d) and small very-old pending tails — which is exactly where the Lean Six Sigma clerical-cut + AI effort should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</si>
</sst>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8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10"/>
      <name val="Arial"/>
      <charset val="1"/>
    </font>
    <font>
      <b/>
      <sz val="12"/>
      <color rgb="FF2E4A3A"/>
      <name val="Arial"/>
      <charset val="1"/>
    </font>
    <font>
      <b/>
      <sz val="10"/>
      <color rgb="FF1F3A5F"/>
      <name val="Arial"/>
      <charset val="1"/>
    </font>
    <font>
      <sz val="10"/>
      <name val="Arial"/>
      <charset val="1"/>
    </font>
    <font>
      <b/>
      <sz val="14"/>
      <color rgb="FF1F3A5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b/>
      <sz val="9"/>
      <name val="Arial"/>
      <charset val="1"/>
    </font>
    <font>
      <b/>
      <sz val="13"/>
      <color rgb="FF1F3A5F"/>
      <name val="Arial"/>
      <charset val="1"/>
    </font>
    <font>
      <i/>
      <sz val="9"/>
      <color rgb="FFB5862A"/>
      <name val="Arial"/>
      <charset val="1"/>
    </font>
    <font>
      <i/>
      <sz val="8"/>
      <color rgb="FF888888"/>
      <name val="Arial"/>
      <charset val="1"/>
    </font>
    <font>
      <b/>
      <sz val="10"/>
      <color rgb="FF2E4A3A"/>
      <name val="Arial"/>
      <charset val="1"/>
    </font>
    <font>
      <i/>
      <sz val="8"/>
      <color rgb="FF666666"/>
      <name val="Arial"/>
      <charset val="1"/>
    </font>
    <font>
      <sz val="9"/>
      <color rgb="FF0000FF"/>
      <name val="Arial"/>
      <charset val="1"/>
    </font>
    <font>
      <sz val="9"/>
      <color rgb="FF888888"/>
      <name val="Arial"/>
      <charset val="1"/>
    </font>
    <font>
      <sz val="10"/>
      <name val="Arial"/>
      <family val="2"/>
    </font>
    <font>
      <i/>
      <sz val="9"/>
      <color rgb="FF666666"/>
      <name val="Arial"/>
      <charset val="1"/>
    </font>
    <font>
      <b/>
      <sz val="8"/>
      <name val="Arial"/>
      <charset val="1"/>
    </font>
    <font>
      <b/>
      <sz val="10"/>
      <color rgb="FFB5862A"/>
      <name val="Arial"/>
      <charset val="1"/>
    </font>
    <font>
      <b/>
      <sz val="11"/>
      <color rgb="FF1F3A5F"/>
      <name val="Arial"/>
      <charset val="1"/>
    </font>
    <font>
      <b/>
      <sz val="9"/>
      <color rgb="FF2E4A3A"/>
      <name val="Arial"/>
      <charset val="1"/>
    </font>
    <font>
      <b/>
      <i/>
      <sz val="9"/>
      <name val="Arial"/>
      <charset val="1"/>
    </font>
    <font>
      <b/>
      <sz val="9"/>
      <color rgb="FFB5862A"/>
      <name val="Arial"/>
      <charset val="1"/>
    </font>
    <font>
      <b/>
      <sz val="10"/>
      <name val="Arial"/>
      <charset val="1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2E4A3A"/>
      </patternFill>
    </fill>
    <fill>
      <patternFill patternType="solid">
        <fgColor rgb="FFF8D7DA"/>
        <bgColor rgb="FFF0F0F0"/>
      </patternFill>
    </fill>
    <fill>
      <patternFill patternType="solid">
        <fgColor rgb="FFFFF6D9"/>
        <bgColor rgb="FFF0F0F0"/>
      </patternFill>
    </fill>
    <fill>
      <patternFill patternType="solid">
        <fgColor rgb="FFF0F0F0"/>
        <bgColor rgb="FFE7EEF5"/>
      </patternFill>
    </fill>
    <fill>
      <patternFill patternType="solid">
        <fgColor rgb="FF2E4A3A"/>
        <bgColor rgb="FF1F3A5F"/>
      </patternFill>
    </fill>
    <fill>
      <patternFill patternType="solid">
        <fgColor rgb="FFFFF2A8"/>
        <bgColor rgb="FFFFF6D9"/>
      </patternFill>
    </fill>
    <fill>
      <patternFill patternType="solid">
        <fgColor rgb="FFE7EEF5"/>
        <bgColor rgb="FFF0F0F0"/>
      </patternFill>
    </fill>
    <fill>
      <patternFill patternType="solid">
        <fgColor rgb="FFDCEAD9"/>
        <bgColor rgb="FFE7EE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4" fillId="0" borderId="0" xfId="0" applyFont="1" applyAlignment="1">
      <alignment horizontal="left"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4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9" fillId="0" borderId="0" xfId="0" applyFont="1"/>
    <xf numFmtId="0" fontId="10" fillId="3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7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4" fillId="0" borderId="0" xfId="0" applyFont="1"/>
    <xf numFmtId="0" fontId="10" fillId="0" borderId="0" xfId="0" applyFont="1"/>
    <xf numFmtId="2" fontId="16" fillId="7" borderId="1" xfId="0" applyNumberFormat="1" applyFont="1" applyFill="1" applyBorder="1"/>
    <xf numFmtId="2" fontId="9" fillId="0" borderId="0" xfId="0" applyNumberFormat="1" applyFont="1"/>
    <xf numFmtId="0" fontId="17" fillId="0" borderId="1" xfId="0" applyFont="1" applyBorder="1" applyAlignment="1">
      <alignment horizontal="center" vertical="top"/>
    </xf>
    <xf numFmtId="3" fontId="8" fillId="0" borderId="1" xfId="0" applyNumberFormat="1" applyFont="1" applyBorder="1" applyAlignment="1">
      <alignment horizontal="center" vertical="top"/>
    </xf>
    <xf numFmtId="164" fontId="8" fillId="0" borderId="1" xfId="0" applyNumberFormat="1" applyFont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top"/>
    </xf>
    <xf numFmtId="3" fontId="8" fillId="3" borderId="1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/>
    </xf>
    <xf numFmtId="164" fontId="10" fillId="0" borderId="1" xfId="0" applyNumberFormat="1" applyFont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20" fillId="9" borderId="1" xfId="0" applyFont="1" applyFill="1" applyBorder="1" applyAlignment="1">
      <alignment horizontal="center" vertical="top"/>
    </xf>
    <xf numFmtId="0" fontId="20" fillId="5" borderId="1" xfId="0" applyFont="1" applyFill="1" applyBorder="1" applyAlignment="1">
      <alignment horizontal="center" vertical="top"/>
    </xf>
    <xf numFmtId="0" fontId="20" fillId="4" borderId="1" xfId="0" applyFont="1" applyFill="1" applyBorder="1" applyAlignment="1">
      <alignment horizontal="center" vertical="top"/>
    </xf>
    <xf numFmtId="0" fontId="20" fillId="3" borderId="1" xfId="0" applyFont="1" applyFill="1" applyBorder="1" applyAlignment="1">
      <alignment horizontal="center" vertical="top"/>
    </xf>
    <xf numFmtId="2" fontId="8" fillId="0" borderId="1" xfId="0" applyNumberFormat="1" applyFont="1" applyBorder="1" applyAlignment="1">
      <alignment horizontal="center" vertical="top"/>
    </xf>
    <xf numFmtId="0" fontId="8" fillId="9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65" fontId="10" fillId="9" borderId="1" xfId="0" applyNumberFormat="1" applyFont="1" applyFill="1" applyBorder="1" applyAlignment="1">
      <alignment horizontal="center" vertical="top"/>
    </xf>
    <xf numFmtId="165" fontId="10" fillId="3" borderId="1" xfId="0" applyNumberFormat="1" applyFont="1" applyFill="1" applyBorder="1" applyAlignment="1">
      <alignment horizontal="center" vertical="top"/>
    </xf>
    <xf numFmtId="0" fontId="9" fillId="0" borderId="1" xfId="0" applyFont="1" applyBorder="1"/>
    <xf numFmtId="3" fontId="10" fillId="0" borderId="1" xfId="0" applyNumberFormat="1" applyFont="1" applyBorder="1" applyAlignment="1">
      <alignment horizontal="center" vertical="top"/>
    </xf>
    <xf numFmtId="165" fontId="26" fillId="9" borderId="1" xfId="0" applyNumberFormat="1" applyFont="1" applyFill="1" applyBorder="1" applyAlignment="1">
      <alignment horizontal="center" vertical="top"/>
    </xf>
    <xf numFmtId="0" fontId="0" fillId="0" borderId="1" xfId="0" applyBorder="1"/>
    <xf numFmtId="0" fontId="1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9" fillId="0" borderId="0" xfId="0" applyFont="1"/>
    <xf numFmtId="0" fontId="21" fillId="0" borderId="0" xfId="0" applyFont="1" applyAlignment="1">
      <alignment horizontal="left" vertical="top" wrapText="1"/>
    </xf>
    <xf numFmtId="0" fontId="0" fillId="0" borderId="0" xfId="0"/>
    <xf numFmtId="0" fontId="25" fillId="0" borderId="0" xfId="0" applyFont="1" applyAlignment="1">
      <alignment horizontal="left"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862A"/>
      <rgbColor rgb="FF800080"/>
      <rgbColor rgb="FF008080"/>
      <rgbColor rgb="FFCCCCCC"/>
      <rgbColor rgb="FF888888"/>
      <rgbColor rgb="FF9999FF"/>
      <rgbColor rgb="FF993366"/>
      <rgbColor rgb="FFFFF6D9"/>
      <rgbColor rgb="FFE7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CEAD9"/>
      <rgbColor rgb="FFFFF2A8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E4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3"/>
  <sheetViews>
    <sheetView showGridLines="0" tabSelected="1" zoomScaleNormal="100" workbookViewId="0">
      <pane ySplit="1" topLeftCell="A10" activePane="bottomLeft" state="frozen"/>
      <selection pane="bottomLeft" activeCell="C12" sqref="C12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100" customWidth="1"/>
  </cols>
  <sheetData>
    <row r="2" spans="2:3" ht="19.5" customHeight="1" x14ac:dyDescent="0.2">
      <c r="B2" s="2" t="s">
        <v>0</v>
      </c>
    </row>
    <row r="4" spans="2:3" ht="23.25" customHeight="1" x14ac:dyDescent="0.2">
      <c r="B4" s="57" t="s">
        <v>1</v>
      </c>
      <c r="C4" s="57"/>
    </row>
    <row r="6" spans="2:3" ht="15" customHeight="1" x14ac:dyDescent="0.2">
      <c r="B6" s="3" t="s">
        <v>2</v>
      </c>
    </row>
    <row r="7" spans="2:3" ht="34.5" customHeight="1" x14ac:dyDescent="0.2">
      <c r="B7" s="4" t="s">
        <v>3</v>
      </c>
      <c r="C7" s="5" t="s">
        <v>4</v>
      </c>
    </row>
    <row r="8" spans="2:3" ht="34.5" customHeight="1" x14ac:dyDescent="0.2">
      <c r="B8" s="4" t="s">
        <v>5</v>
      </c>
      <c r="C8" s="5" t="s">
        <v>6</v>
      </c>
    </row>
    <row r="9" spans="2:3" ht="34.5" customHeight="1" x14ac:dyDescent="0.2">
      <c r="B9" s="4" t="s">
        <v>7</v>
      </c>
      <c r="C9" s="5" t="s">
        <v>8</v>
      </c>
    </row>
    <row r="11" spans="2:3" ht="15" customHeight="1" x14ac:dyDescent="0.2">
      <c r="B11" s="3" t="s">
        <v>9</v>
      </c>
    </row>
    <row r="12" spans="2:3" ht="15" customHeight="1" x14ac:dyDescent="0.2">
      <c r="B12" s="4" t="s">
        <v>10</v>
      </c>
      <c r="C12" s="5" t="s">
        <v>11</v>
      </c>
    </row>
    <row r="13" spans="2:3" ht="15" customHeight="1" x14ac:dyDescent="0.2">
      <c r="B13" s="4" t="s">
        <v>12</v>
      </c>
      <c r="C13" s="5" t="s">
        <v>13</v>
      </c>
    </row>
    <row r="14" spans="2:3" ht="15" customHeight="1" x14ac:dyDescent="0.2">
      <c r="B14" s="4" t="s">
        <v>14</v>
      </c>
      <c r="C14" s="5" t="s">
        <v>15</v>
      </c>
    </row>
    <row r="15" spans="2:3" ht="34.5" customHeight="1" x14ac:dyDescent="0.2">
      <c r="B15" s="4" t="s">
        <v>16</v>
      </c>
      <c r="C15" s="5" t="s">
        <v>17</v>
      </c>
    </row>
    <row r="16" spans="2:3" ht="15" customHeight="1" x14ac:dyDescent="0.2">
      <c r="B16" s="4" t="s">
        <v>18</v>
      </c>
      <c r="C16" s="5" t="s">
        <v>19</v>
      </c>
    </row>
    <row r="18" spans="2:3" ht="15" customHeight="1" x14ac:dyDescent="0.2">
      <c r="B18" s="3" t="s">
        <v>20</v>
      </c>
    </row>
    <row r="19" spans="2:3" ht="23.25" customHeight="1" x14ac:dyDescent="0.2">
      <c r="B19" s="4" t="s">
        <v>21</v>
      </c>
      <c r="C19" s="5" t="s">
        <v>22</v>
      </c>
    </row>
    <row r="20" spans="2:3" ht="23.25" customHeight="1" x14ac:dyDescent="0.2">
      <c r="B20" s="4" t="s">
        <v>23</v>
      </c>
      <c r="C20" s="5" t="s">
        <v>24</v>
      </c>
    </row>
    <row r="21" spans="2:3" ht="23.25" customHeight="1" x14ac:dyDescent="0.2">
      <c r="B21" s="4" t="s">
        <v>25</v>
      </c>
      <c r="C21" s="5" t="s">
        <v>26</v>
      </c>
    </row>
    <row r="22" spans="2:3" ht="34.5" customHeight="1" x14ac:dyDescent="0.2">
      <c r="B22" s="4" t="s">
        <v>27</v>
      </c>
      <c r="C22" s="5" t="s">
        <v>28</v>
      </c>
    </row>
    <row r="23" spans="2:3" ht="15" customHeight="1" x14ac:dyDescent="0.2">
      <c r="B23" s="4" t="s">
        <v>29</v>
      </c>
      <c r="C23" s="5" t="s">
        <v>30</v>
      </c>
    </row>
    <row r="24" spans="2:3" ht="23.25" customHeight="1" x14ac:dyDescent="0.2">
      <c r="B24" s="4" t="s">
        <v>31</v>
      </c>
      <c r="C24" s="5" t="s">
        <v>32</v>
      </c>
    </row>
    <row r="26" spans="2:3" ht="15" customHeight="1" x14ac:dyDescent="0.2">
      <c r="B26" s="3" t="s">
        <v>33</v>
      </c>
    </row>
    <row r="27" spans="2:3" ht="34" customHeight="1" x14ac:dyDescent="0.2">
      <c r="B27" s="4" t="s">
        <v>34</v>
      </c>
      <c r="C27" s="5" t="s">
        <v>35</v>
      </c>
    </row>
    <row r="28" spans="2:3" ht="23.25" customHeight="1" x14ac:dyDescent="0.2">
      <c r="B28" s="4" t="s">
        <v>36</v>
      </c>
      <c r="C28" s="5" t="s">
        <v>37</v>
      </c>
    </row>
    <row r="29" spans="2:3" ht="15" customHeight="1" x14ac:dyDescent="0.2">
      <c r="B29" s="4" t="s">
        <v>38</v>
      </c>
      <c r="C29" s="5" t="s">
        <v>39</v>
      </c>
    </row>
    <row r="30" spans="2:3" ht="23.25" customHeight="1" x14ac:dyDescent="0.2">
      <c r="B30" s="4" t="s">
        <v>40</v>
      </c>
      <c r="C30" s="5" t="s">
        <v>41</v>
      </c>
    </row>
    <row r="32" spans="2:3" ht="15" customHeight="1" x14ac:dyDescent="0.2">
      <c r="B32" s="3" t="s">
        <v>42</v>
      </c>
    </row>
    <row r="33" spans="2:3" ht="45.75" customHeight="1" x14ac:dyDescent="0.2">
      <c r="B33" s="6" t="s">
        <v>43</v>
      </c>
      <c r="C33" s="5" t="s">
        <v>44</v>
      </c>
    </row>
  </sheetData>
  <mergeCells count="1">
    <mergeCell ref="B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20" customWidth="1"/>
    <col min="3" max="3" width="9" customWidth="1"/>
    <col min="4" max="4" width="22" customWidth="1"/>
    <col min="5" max="5" width="40" customWidth="1"/>
    <col min="6" max="6" width="38" customWidth="1"/>
    <col min="7" max="7" width="34" customWidth="1"/>
  </cols>
  <sheetData>
    <row r="1" spans="1:7" ht="17.25" customHeight="1" x14ac:dyDescent="0.2">
      <c r="A1" s="7" t="s">
        <v>45</v>
      </c>
    </row>
    <row r="3" spans="1:7" ht="42" customHeight="1" x14ac:dyDescent="0.2">
      <c r="A3" s="8" t="s">
        <v>46</v>
      </c>
      <c r="B3" s="8" t="s">
        <v>47</v>
      </c>
      <c r="C3" s="8" t="s">
        <v>48</v>
      </c>
      <c r="D3" s="8" t="s">
        <v>49</v>
      </c>
      <c r="E3" s="8" t="s">
        <v>50</v>
      </c>
      <c r="F3" s="8" t="s">
        <v>51</v>
      </c>
      <c r="G3" s="8" t="s">
        <v>52</v>
      </c>
    </row>
    <row r="4" spans="1:7" ht="57.75" customHeight="1" x14ac:dyDescent="0.2">
      <c r="A4" s="9" t="s">
        <v>53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  <c r="G4" s="9" t="s">
        <v>59</v>
      </c>
    </row>
    <row r="5" spans="1:7" ht="57.75" customHeight="1" x14ac:dyDescent="0.2">
      <c r="A5" s="9" t="s">
        <v>53</v>
      </c>
      <c r="B5" s="9" t="s">
        <v>60</v>
      </c>
      <c r="C5" s="9" t="s">
        <v>61</v>
      </c>
      <c r="D5" s="9" t="s">
        <v>62</v>
      </c>
      <c r="E5" s="9" t="s">
        <v>63</v>
      </c>
      <c r="F5" s="9" t="s">
        <v>64</v>
      </c>
      <c r="G5" s="10" t="s">
        <v>65</v>
      </c>
    </row>
    <row r="6" spans="1:7" ht="57.75" customHeight="1" x14ac:dyDescent="0.2">
      <c r="A6" s="9" t="s">
        <v>66</v>
      </c>
      <c r="B6" s="9" t="s">
        <v>67</v>
      </c>
      <c r="C6" s="9" t="s">
        <v>68</v>
      </c>
      <c r="D6" s="9" t="s">
        <v>69</v>
      </c>
      <c r="E6" s="9" t="s">
        <v>70</v>
      </c>
      <c r="F6" s="9" t="s">
        <v>71</v>
      </c>
      <c r="G6" s="9" t="s">
        <v>72</v>
      </c>
    </row>
    <row r="7" spans="1:7" ht="57.75" customHeight="1" x14ac:dyDescent="0.2">
      <c r="A7" s="9" t="s">
        <v>73</v>
      </c>
      <c r="B7" s="9" t="s">
        <v>67</v>
      </c>
      <c r="C7" s="9" t="s">
        <v>74</v>
      </c>
      <c r="D7" s="9" t="s">
        <v>75</v>
      </c>
      <c r="E7" s="9" t="s">
        <v>76</v>
      </c>
      <c r="F7" s="9" t="s">
        <v>77</v>
      </c>
      <c r="G7" s="9" t="s">
        <v>78</v>
      </c>
    </row>
    <row r="8" spans="1:7" ht="57.75" customHeight="1" x14ac:dyDescent="0.2">
      <c r="A8" s="9" t="s">
        <v>79</v>
      </c>
      <c r="B8" s="9" t="s">
        <v>67</v>
      </c>
      <c r="C8" s="9" t="s">
        <v>80</v>
      </c>
      <c r="D8" s="9" t="s">
        <v>81</v>
      </c>
      <c r="E8" s="9" t="s">
        <v>82</v>
      </c>
      <c r="F8" s="9" t="s">
        <v>83</v>
      </c>
      <c r="G8" s="9" t="s">
        <v>84</v>
      </c>
    </row>
    <row r="9" spans="1:7" ht="57.75" customHeight="1" x14ac:dyDescent="0.2">
      <c r="A9" s="9" t="s">
        <v>85</v>
      </c>
      <c r="B9" s="9" t="s">
        <v>86</v>
      </c>
      <c r="C9" s="9" t="s">
        <v>87</v>
      </c>
      <c r="D9" s="9" t="s">
        <v>88</v>
      </c>
      <c r="E9" s="9" t="s">
        <v>89</v>
      </c>
      <c r="F9" s="9" t="s">
        <v>90</v>
      </c>
      <c r="G9" s="9" t="s">
        <v>91</v>
      </c>
    </row>
    <row r="10" spans="1:7" ht="57.75" customHeight="1" x14ac:dyDescent="0.2">
      <c r="A10" s="9" t="s">
        <v>92</v>
      </c>
      <c r="B10" s="9" t="s">
        <v>93</v>
      </c>
      <c r="C10" s="9" t="s">
        <v>94</v>
      </c>
      <c r="D10" s="9" t="s">
        <v>95</v>
      </c>
      <c r="E10" s="9" t="s">
        <v>96</v>
      </c>
      <c r="F10" s="9" t="s">
        <v>97</v>
      </c>
      <c r="G10" s="10" t="s">
        <v>98</v>
      </c>
    </row>
    <row r="11" spans="1:7" ht="57.75" customHeight="1" x14ac:dyDescent="0.2">
      <c r="A11" s="9" t="s">
        <v>99</v>
      </c>
      <c r="B11" s="9" t="s">
        <v>100</v>
      </c>
      <c r="C11" s="9" t="s">
        <v>100</v>
      </c>
      <c r="D11" s="9" t="s">
        <v>100</v>
      </c>
      <c r="E11" s="9" t="s">
        <v>101</v>
      </c>
      <c r="F11" s="9" t="s">
        <v>102</v>
      </c>
      <c r="G11" s="10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11" customWidth="1"/>
    <col min="3" max="3" width="34" customWidth="1"/>
    <col min="4" max="4" width="42" customWidth="1"/>
    <col min="5" max="5" width="26" customWidth="1"/>
    <col min="6" max="6" width="44" customWidth="1"/>
  </cols>
  <sheetData>
    <row r="1" spans="1:6" ht="17.25" customHeight="1" x14ac:dyDescent="0.2">
      <c r="A1" s="7" t="s">
        <v>104</v>
      </c>
    </row>
    <row r="2" spans="1:6" ht="15" customHeight="1" x14ac:dyDescent="0.2">
      <c r="A2" s="11" t="s">
        <v>105</v>
      </c>
    </row>
    <row r="4" spans="1:6" ht="42" customHeight="1" x14ac:dyDescent="0.2">
      <c r="A4" s="8" t="s">
        <v>106</v>
      </c>
      <c r="B4" s="8" t="s">
        <v>107</v>
      </c>
      <c r="C4" s="8" t="s">
        <v>108</v>
      </c>
      <c r="D4" s="8" t="s">
        <v>109</v>
      </c>
      <c r="E4" s="8" t="s">
        <v>110</v>
      </c>
      <c r="F4" s="8" t="s">
        <v>111</v>
      </c>
    </row>
    <row r="5" spans="1:6" ht="60" customHeight="1" x14ac:dyDescent="0.2">
      <c r="A5" s="9">
        <v>1</v>
      </c>
      <c r="B5" s="12" t="s">
        <v>112</v>
      </c>
      <c r="C5" s="9" t="s">
        <v>113</v>
      </c>
      <c r="D5" s="9" t="s">
        <v>114</v>
      </c>
      <c r="E5" s="9" t="s">
        <v>115</v>
      </c>
      <c r="F5" s="9" t="s">
        <v>116</v>
      </c>
    </row>
    <row r="6" spans="1:6" ht="60" customHeight="1" x14ac:dyDescent="0.2">
      <c r="A6" s="9">
        <v>2</v>
      </c>
      <c r="B6" s="12" t="s">
        <v>112</v>
      </c>
      <c r="C6" s="9" t="s">
        <v>117</v>
      </c>
      <c r="D6" s="9" t="s">
        <v>118</v>
      </c>
      <c r="E6" s="9" t="s">
        <v>119</v>
      </c>
      <c r="F6" s="9" t="s">
        <v>120</v>
      </c>
    </row>
    <row r="7" spans="1:6" ht="60" customHeight="1" x14ac:dyDescent="0.2">
      <c r="A7" s="9">
        <v>3</v>
      </c>
      <c r="B7" s="12" t="s">
        <v>112</v>
      </c>
      <c r="C7" s="9" t="s">
        <v>121</v>
      </c>
      <c r="D7" s="9" t="s">
        <v>122</v>
      </c>
      <c r="E7" s="9" t="s">
        <v>54</v>
      </c>
      <c r="F7" s="9" t="s">
        <v>123</v>
      </c>
    </row>
    <row r="8" spans="1:6" ht="60" customHeight="1" x14ac:dyDescent="0.2">
      <c r="A8" s="9">
        <v>4</v>
      </c>
      <c r="B8" s="13" t="s">
        <v>124</v>
      </c>
      <c r="C8" s="9" t="s">
        <v>125</v>
      </c>
      <c r="D8" s="9" t="s">
        <v>126</v>
      </c>
      <c r="E8" s="9" t="s">
        <v>127</v>
      </c>
      <c r="F8" s="9" t="s">
        <v>128</v>
      </c>
    </row>
    <row r="9" spans="1:6" ht="60" customHeight="1" x14ac:dyDescent="0.2">
      <c r="A9" s="9">
        <v>5</v>
      </c>
      <c r="B9" s="13" t="s">
        <v>124</v>
      </c>
      <c r="C9" s="9" t="s">
        <v>129</v>
      </c>
      <c r="D9" s="9" t="s">
        <v>130</v>
      </c>
      <c r="E9" s="9" t="s">
        <v>73</v>
      </c>
      <c r="F9" s="9" t="s">
        <v>131</v>
      </c>
    </row>
    <row r="10" spans="1:6" ht="60" customHeight="1" x14ac:dyDescent="0.2">
      <c r="A10" s="9">
        <v>6</v>
      </c>
      <c r="B10" s="13" t="s">
        <v>124</v>
      </c>
      <c r="C10" s="9" t="s">
        <v>132</v>
      </c>
      <c r="D10" s="9" t="s">
        <v>133</v>
      </c>
      <c r="E10" s="9" t="s">
        <v>134</v>
      </c>
      <c r="F10" s="9" t="s">
        <v>135</v>
      </c>
    </row>
    <row r="11" spans="1:6" ht="60" customHeight="1" x14ac:dyDescent="0.2">
      <c r="A11" s="9">
        <v>7</v>
      </c>
      <c r="B11" s="13" t="s">
        <v>124</v>
      </c>
      <c r="C11" s="9" t="s">
        <v>136</v>
      </c>
      <c r="D11" s="9" t="s">
        <v>137</v>
      </c>
      <c r="E11" s="9" t="s">
        <v>54</v>
      </c>
      <c r="F11" s="9" t="s">
        <v>138</v>
      </c>
    </row>
    <row r="12" spans="1:6" ht="60" customHeight="1" x14ac:dyDescent="0.2">
      <c r="A12" s="9">
        <v>8</v>
      </c>
      <c r="B12" s="14" t="s">
        <v>139</v>
      </c>
      <c r="C12" s="9" t="s">
        <v>140</v>
      </c>
      <c r="D12" s="9" t="s">
        <v>141</v>
      </c>
      <c r="E12" s="9" t="s">
        <v>54</v>
      </c>
      <c r="F12" s="9" t="s">
        <v>142</v>
      </c>
    </row>
    <row r="13" spans="1:6" ht="60" customHeight="1" x14ac:dyDescent="0.2">
      <c r="A13" s="9">
        <v>9</v>
      </c>
      <c r="B13" s="14" t="s">
        <v>139</v>
      </c>
      <c r="C13" s="9" t="s">
        <v>143</v>
      </c>
      <c r="D13" s="9" t="s">
        <v>144</v>
      </c>
      <c r="E13" s="9" t="s">
        <v>54</v>
      </c>
      <c r="F13" s="9" t="s">
        <v>145</v>
      </c>
    </row>
    <row r="14" spans="1:6" ht="60" customHeight="1" x14ac:dyDescent="0.2">
      <c r="A14" s="9">
        <v>10</v>
      </c>
      <c r="B14" s="14" t="s">
        <v>139</v>
      </c>
      <c r="C14" s="9" t="s">
        <v>146</v>
      </c>
      <c r="D14" s="9" t="s">
        <v>147</v>
      </c>
      <c r="E14" s="9" t="s">
        <v>54</v>
      </c>
      <c r="F14" s="9" t="s">
        <v>148</v>
      </c>
    </row>
    <row r="15" spans="1:6" ht="60" customHeight="1" x14ac:dyDescent="0.2">
      <c r="A15" s="9">
        <v>11</v>
      </c>
      <c r="B15" s="14" t="s">
        <v>139</v>
      </c>
      <c r="C15" s="9" t="s">
        <v>149</v>
      </c>
      <c r="D15" s="9" t="s">
        <v>150</v>
      </c>
      <c r="E15" s="9" t="s">
        <v>151</v>
      </c>
      <c r="F15" s="9" t="s">
        <v>152</v>
      </c>
    </row>
    <row r="16" spans="1:6" ht="60" customHeight="1" x14ac:dyDescent="0.2">
      <c r="A16" s="9">
        <v>12</v>
      </c>
      <c r="B16" s="14" t="s">
        <v>139</v>
      </c>
      <c r="C16" s="9" t="s">
        <v>153</v>
      </c>
      <c r="D16" s="9" t="s">
        <v>154</v>
      </c>
      <c r="E16" s="9" t="s">
        <v>155</v>
      </c>
      <c r="F16" s="9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3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26" customWidth="1"/>
    <col min="3" max="3" width="16" customWidth="1"/>
    <col min="4" max="4" width="9" customWidth="1"/>
    <col min="5" max="5" width="12" customWidth="1"/>
    <col min="6" max="7" width="11" customWidth="1"/>
    <col min="8" max="8" width="30" customWidth="1"/>
    <col min="9" max="10" width="9" customWidth="1"/>
    <col min="11" max="11" width="12" customWidth="1"/>
    <col min="12" max="12" width="30" customWidth="1"/>
    <col min="13" max="14" width="12" customWidth="1"/>
  </cols>
  <sheetData>
    <row r="1" spans="1:14" ht="15.75" customHeight="1" x14ac:dyDescent="0.2">
      <c r="A1" s="15" t="s">
        <v>157</v>
      </c>
    </row>
    <row r="2" spans="1:14" ht="15" customHeight="1" x14ac:dyDescent="0.2">
      <c r="A2" s="16" t="s">
        <v>158</v>
      </c>
    </row>
    <row r="4" spans="1:14" ht="39.75" customHeight="1" x14ac:dyDescent="0.2">
      <c r="A4" s="17" t="s">
        <v>159</v>
      </c>
      <c r="B4" s="17" t="s">
        <v>160</v>
      </c>
      <c r="C4" s="17" t="s">
        <v>161</v>
      </c>
      <c r="D4" s="17" t="s">
        <v>162</v>
      </c>
      <c r="E4" s="17" t="s">
        <v>163</v>
      </c>
      <c r="F4" s="17" t="s">
        <v>164</v>
      </c>
      <c r="G4" s="17" t="s">
        <v>165</v>
      </c>
      <c r="H4" s="17" t="s">
        <v>166</v>
      </c>
      <c r="I4" s="17" t="s">
        <v>167</v>
      </c>
      <c r="J4" s="17" t="s">
        <v>168</v>
      </c>
      <c r="K4" s="17" t="s">
        <v>169</v>
      </c>
      <c r="L4" s="17" t="s">
        <v>170</v>
      </c>
      <c r="M4" s="17" t="s">
        <v>171</v>
      </c>
      <c r="N4" s="17" t="s">
        <v>110</v>
      </c>
    </row>
    <row r="5" spans="1:14" ht="27.75" customHeight="1" x14ac:dyDescent="0.2">
      <c r="A5" s="9" t="s">
        <v>172</v>
      </c>
      <c r="B5" s="9" t="s">
        <v>173</v>
      </c>
      <c r="C5" s="9" t="s">
        <v>174</v>
      </c>
      <c r="D5" s="9" t="s">
        <v>175</v>
      </c>
      <c r="E5" s="9">
        <v>5</v>
      </c>
      <c r="F5" s="9">
        <v>20313</v>
      </c>
      <c r="G5" s="9">
        <v>175</v>
      </c>
      <c r="H5" s="9" t="s">
        <v>176</v>
      </c>
      <c r="I5" s="9">
        <v>7</v>
      </c>
      <c r="J5" s="9">
        <v>0</v>
      </c>
      <c r="K5" s="9" t="s">
        <v>177</v>
      </c>
      <c r="L5" s="9" t="s">
        <v>178</v>
      </c>
      <c r="M5" s="9"/>
      <c r="N5" s="18" t="s">
        <v>179</v>
      </c>
    </row>
    <row r="6" spans="1:14" ht="27.75" customHeight="1" x14ac:dyDescent="0.2">
      <c r="A6" s="9" t="s">
        <v>180</v>
      </c>
      <c r="B6" s="9" t="s">
        <v>181</v>
      </c>
      <c r="C6" s="9" t="s">
        <v>182</v>
      </c>
      <c r="D6" s="9" t="s">
        <v>183</v>
      </c>
      <c r="E6" s="9">
        <v>21</v>
      </c>
      <c r="F6" s="9">
        <v>11028</v>
      </c>
      <c r="G6" s="9">
        <v>582</v>
      </c>
      <c r="H6" s="9" t="s">
        <v>184</v>
      </c>
      <c r="I6" s="9">
        <v>8</v>
      </c>
      <c r="J6" s="9">
        <v>6</v>
      </c>
      <c r="K6" s="9"/>
      <c r="L6" s="9"/>
      <c r="M6" s="9"/>
      <c r="N6" s="18" t="s">
        <v>179</v>
      </c>
    </row>
    <row r="7" spans="1:14" ht="27.75" customHeight="1" x14ac:dyDescent="0.2">
      <c r="A7" s="9" t="s">
        <v>185</v>
      </c>
      <c r="B7" s="9" t="s">
        <v>186</v>
      </c>
      <c r="C7" s="9" t="s">
        <v>174</v>
      </c>
      <c r="D7" s="9" t="s">
        <v>175</v>
      </c>
      <c r="E7" s="9">
        <v>1</v>
      </c>
      <c r="F7" s="9">
        <v>4687</v>
      </c>
      <c r="G7" s="9">
        <v>3</v>
      </c>
      <c r="H7" s="9" t="s">
        <v>187</v>
      </c>
      <c r="I7" s="9">
        <v>1</v>
      </c>
      <c r="J7" s="9">
        <v>0</v>
      </c>
      <c r="K7" s="9">
        <v>4</v>
      </c>
      <c r="L7" s="9" t="s">
        <v>188</v>
      </c>
      <c r="M7" s="9" t="s">
        <v>189</v>
      </c>
      <c r="N7" s="18" t="s">
        <v>179</v>
      </c>
    </row>
    <row r="8" spans="1:14" ht="27.75" customHeight="1" x14ac:dyDescent="0.2">
      <c r="A8" s="9" t="s">
        <v>190</v>
      </c>
      <c r="B8" s="9" t="s">
        <v>191</v>
      </c>
      <c r="C8" s="9" t="s">
        <v>174</v>
      </c>
      <c r="D8" s="9" t="s">
        <v>175</v>
      </c>
      <c r="E8" s="9">
        <v>3</v>
      </c>
      <c r="F8" s="9">
        <v>3662</v>
      </c>
      <c r="G8" s="9">
        <v>46</v>
      </c>
      <c r="H8" s="9" t="s">
        <v>187</v>
      </c>
      <c r="I8" s="9">
        <v>7</v>
      </c>
      <c r="J8" s="9">
        <v>0</v>
      </c>
      <c r="K8" s="9">
        <v>7</v>
      </c>
      <c r="L8" s="9" t="s">
        <v>188</v>
      </c>
      <c r="M8" s="9" t="s">
        <v>192</v>
      </c>
      <c r="N8" s="18" t="s">
        <v>179</v>
      </c>
    </row>
    <row r="9" spans="1:14" ht="27.75" customHeight="1" x14ac:dyDescent="0.2">
      <c r="A9" s="9" t="s">
        <v>190</v>
      </c>
      <c r="B9" s="9" t="s">
        <v>193</v>
      </c>
      <c r="C9" s="9" t="s">
        <v>174</v>
      </c>
      <c r="D9" s="9" t="s">
        <v>175</v>
      </c>
      <c r="E9" s="9">
        <v>2</v>
      </c>
      <c r="F9" s="9">
        <v>2799</v>
      </c>
      <c r="G9" s="9">
        <v>14</v>
      </c>
      <c r="H9" s="9" t="s">
        <v>187</v>
      </c>
      <c r="I9" s="9">
        <v>6</v>
      </c>
      <c r="J9" s="9">
        <v>0</v>
      </c>
      <c r="K9" s="9">
        <v>7</v>
      </c>
      <c r="L9" s="9" t="s">
        <v>188</v>
      </c>
      <c r="M9" s="9" t="s">
        <v>192</v>
      </c>
      <c r="N9" s="18" t="s">
        <v>179</v>
      </c>
    </row>
    <row r="10" spans="1:14" ht="27.75" customHeight="1" x14ac:dyDescent="0.2">
      <c r="A10" s="9" t="s">
        <v>194</v>
      </c>
      <c r="B10" s="9" t="s">
        <v>195</v>
      </c>
      <c r="C10" s="9" t="s">
        <v>182</v>
      </c>
      <c r="D10" s="9" t="s">
        <v>183</v>
      </c>
      <c r="E10" s="9">
        <v>93</v>
      </c>
      <c r="F10" s="9">
        <v>29</v>
      </c>
      <c r="G10" s="9">
        <v>0</v>
      </c>
      <c r="H10" s="9"/>
      <c r="I10" s="9">
        <v>8</v>
      </c>
      <c r="J10" s="9">
        <v>6</v>
      </c>
      <c r="K10" s="9"/>
      <c r="L10" s="9"/>
      <c r="M10" s="9"/>
      <c r="N10" s="18" t="s">
        <v>179</v>
      </c>
    </row>
    <row r="11" spans="1:14" ht="27.75" customHeight="1" x14ac:dyDescent="0.2">
      <c r="A11" s="9" t="s">
        <v>196</v>
      </c>
      <c r="B11" s="9" t="s">
        <v>197</v>
      </c>
      <c r="C11" s="9" t="s">
        <v>174</v>
      </c>
      <c r="D11" s="9" t="s">
        <v>175</v>
      </c>
      <c r="E11" s="9">
        <v>1</v>
      </c>
      <c r="F11" s="9">
        <v>620</v>
      </c>
      <c r="G11" s="9">
        <v>0</v>
      </c>
      <c r="H11" s="9"/>
      <c r="I11" s="9"/>
      <c r="J11" s="9"/>
      <c r="K11" s="9"/>
      <c r="L11" s="9"/>
      <c r="M11" s="9"/>
      <c r="N11" s="18" t="s">
        <v>179</v>
      </c>
    </row>
    <row r="12" spans="1:14" ht="27.75" customHeight="1" x14ac:dyDescent="0.2">
      <c r="A12" s="9" t="s">
        <v>198</v>
      </c>
      <c r="B12" s="9" t="s">
        <v>199</v>
      </c>
      <c r="C12" s="9" t="s">
        <v>182</v>
      </c>
      <c r="D12" s="9" t="s">
        <v>183</v>
      </c>
      <c r="E12" s="9">
        <v>92</v>
      </c>
      <c r="F12" s="9">
        <v>62</v>
      </c>
      <c r="G12" s="9">
        <v>22</v>
      </c>
      <c r="H12" s="9" t="s">
        <v>200</v>
      </c>
      <c r="I12" s="9">
        <v>13</v>
      </c>
      <c r="J12" s="9">
        <v>2</v>
      </c>
      <c r="K12" s="9"/>
      <c r="L12" s="9"/>
      <c r="M12" s="9" t="s">
        <v>201</v>
      </c>
      <c r="N12" s="18" t="s">
        <v>179</v>
      </c>
    </row>
    <row r="13" spans="1:14" ht="27.75" customHeight="1" x14ac:dyDescent="0.2">
      <c r="A13" s="9" t="s">
        <v>202</v>
      </c>
      <c r="B13" s="9" t="s">
        <v>203</v>
      </c>
      <c r="C13" s="9" t="s">
        <v>182</v>
      </c>
      <c r="D13" s="9" t="s">
        <v>183</v>
      </c>
      <c r="E13" s="9">
        <v>31</v>
      </c>
      <c r="F13" s="9">
        <v>38</v>
      </c>
      <c r="G13" s="9">
        <v>1</v>
      </c>
      <c r="H13" s="9"/>
      <c r="I13" s="9">
        <v>6</v>
      </c>
      <c r="J13" s="9">
        <v>3</v>
      </c>
      <c r="K13" s="9"/>
      <c r="L13" s="9"/>
      <c r="M13" s="9" t="s">
        <v>204</v>
      </c>
      <c r="N13" s="18" t="s">
        <v>179</v>
      </c>
    </row>
    <row r="14" spans="1:14" ht="27.75" customHeight="1" x14ac:dyDescent="0.2">
      <c r="A14" s="9" t="s">
        <v>205</v>
      </c>
      <c r="B14" s="9" t="s">
        <v>206</v>
      </c>
      <c r="C14" s="9" t="s">
        <v>182</v>
      </c>
      <c r="D14" s="9"/>
      <c r="E14" s="9">
        <v>75</v>
      </c>
      <c r="F14" s="9">
        <v>18</v>
      </c>
      <c r="G14" s="9">
        <v>8</v>
      </c>
      <c r="H14" s="9" t="s">
        <v>207</v>
      </c>
      <c r="I14" s="9"/>
      <c r="J14" s="9"/>
      <c r="K14" s="9"/>
      <c r="L14" s="9"/>
      <c r="M14" s="9"/>
      <c r="N14" s="18" t="s">
        <v>179</v>
      </c>
    </row>
    <row r="15" spans="1:14" ht="27.75" customHeight="1" x14ac:dyDescent="0.2">
      <c r="A15" s="9" t="s">
        <v>208</v>
      </c>
      <c r="B15" s="9" t="s">
        <v>209</v>
      </c>
      <c r="C15" s="9" t="s">
        <v>182</v>
      </c>
      <c r="D15" s="9" t="s">
        <v>175</v>
      </c>
      <c r="E15" s="9">
        <v>16</v>
      </c>
      <c r="F15" s="9">
        <v>24</v>
      </c>
      <c r="G15" s="9">
        <v>0</v>
      </c>
      <c r="H15" s="9"/>
      <c r="I15" s="9"/>
      <c r="J15" s="9"/>
      <c r="K15" s="9"/>
      <c r="L15" s="9"/>
      <c r="M15" s="9"/>
      <c r="N15" s="18" t="s">
        <v>179</v>
      </c>
    </row>
    <row r="16" spans="1:14" ht="27.75" customHeight="1" x14ac:dyDescent="0.2">
      <c r="A16" s="9" t="s">
        <v>208</v>
      </c>
      <c r="B16" s="9" t="s">
        <v>210</v>
      </c>
      <c r="C16" s="9" t="s">
        <v>182</v>
      </c>
      <c r="D16" s="9" t="s">
        <v>175</v>
      </c>
      <c r="E16" s="9">
        <v>14</v>
      </c>
      <c r="F16" s="9">
        <v>28</v>
      </c>
      <c r="G16" s="9">
        <v>2</v>
      </c>
      <c r="H16" s="9"/>
      <c r="I16" s="9"/>
      <c r="J16" s="9"/>
      <c r="K16" s="9"/>
      <c r="L16" s="9"/>
      <c r="M16" s="9"/>
      <c r="N16" s="18" t="s">
        <v>179</v>
      </c>
    </row>
    <row r="17" spans="1:14" ht="27.75" customHeight="1" x14ac:dyDescent="0.2">
      <c r="A17" s="9" t="s">
        <v>205</v>
      </c>
      <c r="B17" s="9" t="s">
        <v>211</v>
      </c>
      <c r="C17" s="9" t="s">
        <v>212</v>
      </c>
      <c r="D17" s="9" t="s">
        <v>175</v>
      </c>
      <c r="E17" s="9">
        <v>26</v>
      </c>
      <c r="F17" s="9">
        <v>498</v>
      </c>
      <c r="G17" s="9">
        <v>11</v>
      </c>
      <c r="H17" s="9"/>
      <c r="I17" s="9"/>
      <c r="J17" s="9"/>
      <c r="K17" s="9"/>
      <c r="L17" s="9"/>
      <c r="M17" s="9" t="s">
        <v>213</v>
      </c>
      <c r="N17" s="18" t="s">
        <v>179</v>
      </c>
    </row>
    <row r="18" spans="1:14" ht="27.75" customHeight="1" x14ac:dyDescent="0.2">
      <c r="A18" s="9" t="s">
        <v>196</v>
      </c>
      <c r="B18" s="9" t="s">
        <v>214</v>
      </c>
      <c r="C18" s="9" t="s">
        <v>174</v>
      </c>
      <c r="D18" s="9" t="s">
        <v>183</v>
      </c>
      <c r="E18" s="9">
        <v>13</v>
      </c>
      <c r="F18" s="9">
        <v>334</v>
      </c>
      <c r="G18" s="9">
        <v>7</v>
      </c>
      <c r="H18" s="9" t="s">
        <v>215</v>
      </c>
      <c r="I18" s="9">
        <v>12</v>
      </c>
      <c r="J18" s="9">
        <v>3</v>
      </c>
      <c r="K18" s="9"/>
      <c r="L18" s="9"/>
      <c r="M18" s="9" t="s">
        <v>216</v>
      </c>
      <c r="N18" s="18" t="s">
        <v>179</v>
      </c>
    </row>
    <row r="19" spans="1:14" ht="27.75" customHeight="1" x14ac:dyDescent="0.2">
      <c r="A19" s="9" t="s">
        <v>217</v>
      </c>
      <c r="B19" s="9" t="s">
        <v>218</v>
      </c>
      <c r="C19" s="9" t="s">
        <v>174</v>
      </c>
      <c r="D19" s="9" t="s">
        <v>175</v>
      </c>
      <c r="E19" s="9">
        <v>32</v>
      </c>
      <c r="F19" s="9">
        <v>276</v>
      </c>
      <c r="G19" s="9">
        <v>150</v>
      </c>
      <c r="H19" s="9" t="s">
        <v>219</v>
      </c>
      <c r="I19" s="9">
        <v>12</v>
      </c>
      <c r="J19" s="9" t="s">
        <v>220</v>
      </c>
      <c r="K19" s="9">
        <v>1</v>
      </c>
      <c r="L19" s="9" t="s">
        <v>221</v>
      </c>
      <c r="M19" s="9" t="s">
        <v>222</v>
      </c>
      <c r="N19" s="18" t="s">
        <v>179</v>
      </c>
    </row>
    <row r="20" spans="1:14" ht="27.75" customHeight="1" x14ac:dyDescent="0.2">
      <c r="A20" s="9" t="s">
        <v>223</v>
      </c>
      <c r="B20" s="9" t="s">
        <v>224</v>
      </c>
      <c r="C20" s="9" t="s">
        <v>174</v>
      </c>
      <c r="D20" s="9" t="s">
        <v>183</v>
      </c>
      <c r="E20" s="9">
        <v>26</v>
      </c>
      <c r="F20" s="9">
        <v>150</v>
      </c>
      <c r="G20" s="9">
        <v>0</v>
      </c>
      <c r="H20" s="9"/>
      <c r="I20" s="9">
        <v>2</v>
      </c>
      <c r="J20" s="9">
        <v>0</v>
      </c>
      <c r="K20" s="9"/>
      <c r="L20" s="9" t="s">
        <v>225</v>
      </c>
      <c r="M20" s="9" t="s">
        <v>192</v>
      </c>
      <c r="N20" s="18" t="s">
        <v>179</v>
      </c>
    </row>
    <row r="21" spans="1:14" ht="27.75" customHeight="1" x14ac:dyDescent="0.2">
      <c r="A21" s="9" t="s">
        <v>226</v>
      </c>
      <c r="B21" s="9" t="s">
        <v>227</v>
      </c>
      <c r="C21" s="9" t="s">
        <v>182</v>
      </c>
      <c r="D21" s="9" t="s">
        <v>175</v>
      </c>
      <c r="E21" s="9">
        <v>17</v>
      </c>
      <c r="F21" s="9">
        <v>69</v>
      </c>
      <c r="G21" s="9">
        <v>26</v>
      </c>
      <c r="H21" s="9" t="s">
        <v>207</v>
      </c>
      <c r="I21" s="9"/>
      <c r="J21" s="9"/>
      <c r="K21" s="9"/>
      <c r="L21" s="9"/>
      <c r="M21" s="9"/>
      <c r="N21" s="18" t="s">
        <v>179</v>
      </c>
    </row>
    <row r="22" spans="1:14" ht="74.25" customHeight="1" x14ac:dyDescent="0.2">
      <c r="A22" s="9" t="s">
        <v>228</v>
      </c>
      <c r="B22" s="9" t="s">
        <v>229</v>
      </c>
      <c r="C22" s="9" t="s">
        <v>174</v>
      </c>
      <c r="D22" s="9" t="s">
        <v>175</v>
      </c>
      <c r="E22" s="9">
        <v>24</v>
      </c>
      <c r="F22" s="9">
        <v>126</v>
      </c>
      <c r="G22" s="9">
        <v>34</v>
      </c>
      <c r="H22" s="9" t="s">
        <v>230</v>
      </c>
      <c r="I22" s="9">
        <v>12</v>
      </c>
      <c r="J22" s="9" t="s">
        <v>220</v>
      </c>
      <c r="K22" s="9" t="s">
        <v>231</v>
      </c>
      <c r="L22" s="9" t="s">
        <v>232</v>
      </c>
      <c r="M22" s="9" t="s">
        <v>222</v>
      </c>
      <c r="N22" s="18" t="s">
        <v>179</v>
      </c>
    </row>
    <row r="23" spans="1:14" ht="27.75" customHeight="1" x14ac:dyDescent="0.2">
      <c r="A23" s="9" t="s">
        <v>217</v>
      </c>
      <c r="B23" s="9" t="s">
        <v>233</v>
      </c>
      <c r="C23" s="9" t="s">
        <v>174</v>
      </c>
      <c r="D23" s="9" t="s">
        <v>183</v>
      </c>
      <c r="E23" s="9">
        <v>70</v>
      </c>
      <c r="F23" s="9">
        <v>118</v>
      </c>
      <c r="G23" s="9">
        <v>188</v>
      </c>
      <c r="H23" s="9" t="s">
        <v>207</v>
      </c>
      <c r="I23" s="9"/>
      <c r="J23" s="9"/>
      <c r="K23" s="9"/>
      <c r="L23" s="9"/>
      <c r="M23" s="9"/>
      <c r="N23" s="18" t="s">
        <v>179</v>
      </c>
    </row>
    <row r="24" spans="1:14" ht="27.75" customHeight="1" x14ac:dyDescent="0.2">
      <c r="A24" s="9" t="s">
        <v>234</v>
      </c>
      <c r="B24" s="9" t="s">
        <v>206</v>
      </c>
      <c r="C24" s="9" t="s">
        <v>174</v>
      </c>
      <c r="D24" s="9" t="s">
        <v>175</v>
      </c>
      <c r="E24" s="9">
        <v>41</v>
      </c>
      <c r="F24" s="9">
        <v>116</v>
      </c>
      <c r="G24" s="9">
        <v>74</v>
      </c>
      <c r="H24" s="9"/>
      <c r="I24" s="9"/>
      <c r="J24" s="9"/>
      <c r="K24" s="9"/>
      <c r="L24" s="9"/>
      <c r="M24" s="9"/>
      <c r="N24" s="18" t="s">
        <v>179</v>
      </c>
    </row>
    <row r="25" spans="1:14" ht="27.75" customHeight="1" x14ac:dyDescent="0.2">
      <c r="A25" s="9" t="s">
        <v>228</v>
      </c>
      <c r="B25" s="9" t="s">
        <v>235</v>
      </c>
      <c r="C25" s="9" t="s">
        <v>174</v>
      </c>
      <c r="D25" s="9" t="s">
        <v>175</v>
      </c>
      <c r="E25" s="9">
        <v>6</v>
      </c>
      <c r="F25" s="9">
        <v>116</v>
      </c>
      <c r="G25" s="9">
        <v>2</v>
      </c>
      <c r="H25" s="9"/>
      <c r="I25" s="9"/>
      <c r="J25" s="9"/>
      <c r="K25" s="9"/>
      <c r="L25" s="9"/>
      <c r="M25" s="9"/>
      <c r="N25" s="18" t="s">
        <v>179</v>
      </c>
    </row>
    <row r="26" spans="1:14" ht="27.75" customHeight="1" x14ac:dyDescent="0.2">
      <c r="A26" s="9" t="s">
        <v>208</v>
      </c>
      <c r="B26" s="9" t="s">
        <v>236</v>
      </c>
      <c r="C26" s="9" t="s">
        <v>174</v>
      </c>
      <c r="D26" s="9" t="s">
        <v>175</v>
      </c>
      <c r="E26" s="9">
        <v>11</v>
      </c>
      <c r="F26" s="9">
        <v>115</v>
      </c>
      <c r="G26" s="9">
        <v>2</v>
      </c>
      <c r="H26" s="9"/>
      <c r="I26" s="9"/>
      <c r="J26" s="9"/>
      <c r="K26" s="9"/>
      <c r="L26" s="9"/>
      <c r="M26" s="9"/>
      <c r="N26" s="18" t="s">
        <v>179</v>
      </c>
    </row>
    <row r="27" spans="1:14" ht="27.75" customHeight="1" x14ac:dyDescent="0.2">
      <c r="A27" s="9" t="s">
        <v>217</v>
      </c>
      <c r="B27" s="9" t="s">
        <v>237</v>
      </c>
      <c r="C27" s="9" t="s">
        <v>174</v>
      </c>
      <c r="D27" s="9" t="s">
        <v>183</v>
      </c>
      <c r="E27" s="9">
        <v>70</v>
      </c>
      <c r="F27" s="9">
        <v>105</v>
      </c>
      <c r="G27" s="9">
        <v>2</v>
      </c>
      <c r="H27" s="9"/>
      <c r="I27" s="9"/>
      <c r="J27" s="9"/>
      <c r="K27" s="9"/>
      <c r="L27" s="9"/>
      <c r="M27" s="9"/>
      <c r="N27" s="18" t="s">
        <v>179</v>
      </c>
    </row>
    <row r="28" spans="1:14" ht="27.75" customHeight="1" x14ac:dyDescent="0.2">
      <c r="A28" s="9" t="s">
        <v>234</v>
      </c>
      <c r="B28" s="9" t="s">
        <v>238</v>
      </c>
      <c r="C28" s="9" t="s">
        <v>174</v>
      </c>
      <c r="D28" s="9" t="s">
        <v>175</v>
      </c>
      <c r="E28" s="9">
        <v>10</v>
      </c>
      <c r="F28" s="9">
        <v>79</v>
      </c>
      <c r="G28" s="9">
        <v>42</v>
      </c>
      <c r="H28" s="9"/>
      <c r="I28" s="9"/>
      <c r="J28" s="9"/>
      <c r="K28" s="9"/>
      <c r="L28" s="9"/>
      <c r="M28" s="9"/>
      <c r="N28" s="18" t="s">
        <v>179</v>
      </c>
    </row>
    <row r="29" spans="1:14" ht="27.75" customHeight="1" x14ac:dyDescent="0.2">
      <c r="A29" s="9" t="s">
        <v>239</v>
      </c>
      <c r="B29" s="9" t="s">
        <v>240</v>
      </c>
      <c r="C29" s="9" t="s">
        <v>174</v>
      </c>
      <c r="D29" s="9" t="s">
        <v>175</v>
      </c>
      <c r="E29" s="9">
        <v>24</v>
      </c>
      <c r="F29" s="9">
        <v>90</v>
      </c>
      <c r="G29" s="9">
        <v>8</v>
      </c>
      <c r="H29" s="9"/>
      <c r="I29" s="9"/>
      <c r="J29" s="9"/>
      <c r="K29" s="9"/>
      <c r="L29" s="9"/>
      <c r="M29" s="9"/>
      <c r="N29" s="18" t="s">
        <v>179</v>
      </c>
    </row>
    <row r="30" spans="1:14" ht="27.75" customHeight="1" x14ac:dyDescent="0.2">
      <c r="A30" s="9" t="s">
        <v>241</v>
      </c>
      <c r="B30" s="9" t="s">
        <v>242</v>
      </c>
      <c r="C30" s="9" t="s">
        <v>182</v>
      </c>
      <c r="D30" s="9" t="s">
        <v>175</v>
      </c>
      <c r="E30" s="9">
        <v>12</v>
      </c>
      <c r="F30" s="9">
        <v>196</v>
      </c>
      <c r="G30" s="9">
        <v>8</v>
      </c>
      <c r="H30" s="9" t="s">
        <v>207</v>
      </c>
      <c r="I30" s="9"/>
      <c r="J30" s="9"/>
      <c r="K30" s="9" t="s">
        <v>243</v>
      </c>
      <c r="L30" s="9"/>
      <c r="M30" s="9"/>
      <c r="N30" s="18" t="s">
        <v>179</v>
      </c>
    </row>
    <row r="31" spans="1:14" ht="27.75" customHeight="1" x14ac:dyDescent="0.2">
      <c r="A31" s="9" t="s">
        <v>196</v>
      </c>
      <c r="B31" s="9" t="s">
        <v>244</v>
      </c>
      <c r="C31" s="9" t="s">
        <v>174</v>
      </c>
      <c r="D31" s="9" t="s">
        <v>245</v>
      </c>
      <c r="E31" s="9">
        <v>15</v>
      </c>
      <c r="F31" s="9">
        <v>75</v>
      </c>
      <c r="G31" s="9">
        <v>15</v>
      </c>
      <c r="H31" s="9"/>
      <c r="I31" s="9"/>
      <c r="J31" s="9"/>
      <c r="K31" s="9"/>
      <c r="L31" s="9"/>
      <c r="M31" s="9"/>
      <c r="N31" s="18" t="s">
        <v>179</v>
      </c>
    </row>
    <row r="32" spans="1:14" ht="27.75" customHeight="1" x14ac:dyDescent="0.2">
      <c r="A32" s="9" t="s">
        <v>246</v>
      </c>
      <c r="B32" s="9" t="s">
        <v>195</v>
      </c>
      <c r="C32" s="9" t="s">
        <v>182</v>
      </c>
      <c r="D32" s="9" t="s">
        <v>175</v>
      </c>
      <c r="E32" s="9">
        <v>7</v>
      </c>
      <c r="F32" s="9">
        <v>401</v>
      </c>
      <c r="G32" s="9">
        <v>19</v>
      </c>
      <c r="H32" s="9"/>
      <c r="I32" s="9"/>
      <c r="J32" s="9"/>
      <c r="K32" s="9"/>
      <c r="L32" s="9"/>
      <c r="M32" s="9"/>
      <c r="N32" s="18" t="s">
        <v>179</v>
      </c>
    </row>
    <row r="33" spans="1:14" ht="27.75" customHeight="1" x14ac:dyDescent="0.2">
      <c r="A33" s="9" t="s">
        <v>241</v>
      </c>
      <c r="B33" s="9" t="s">
        <v>247</v>
      </c>
      <c r="C33" s="9" t="s">
        <v>174</v>
      </c>
      <c r="D33" s="9" t="s">
        <v>175</v>
      </c>
      <c r="E33" s="9">
        <v>19</v>
      </c>
      <c r="F33" s="9">
        <v>72</v>
      </c>
      <c r="G33" s="9">
        <v>8</v>
      </c>
      <c r="H33" s="9"/>
      <c r="I33" s="9"/>
      <c r="J33" s="9"/>
      <c r="K33" s="9">
        <v>1</v>
      </c>
      <c r="L33" s="9"/>
      <c r="M33" s="9"/>
      <c r="N33" s="18" t="s">
        <v>179</v>
      </c>
    </row>
    <row r="34" spans="1:14" ht="27.75" customHeight="1" x14ac:dyDescent="0.2">
      <c r="A34" s="9" t="s">
        <v>248</v>
      </c>
      <c r="B34" s="9" t="s">
        <v>249</v>
      </c>
      <c r="C34" s="9" t="s">
        <v>174</v>
      </c>
      <c r="D34" s="9" t="s">
        <v>175</v>
      </c>
      <c r="E34" s="9">
        <v>5</v>
      </c>
      <c r="F34" s="9">
        <v>71</v>
      </c>
      <c r="G34" s="9">
        <v>1</v>
      </c>
      <c r="H34" s="9"/>
      <c r="I34" s="9"/>
      <c r="J34" s="9"/>
      <c r="K34" s="9"/>
      <c r="L34" s="9"/>
      <c r="M34" s="9"/>
      <c r="N34" s="18" t="s">
        <v>179</v>
      </c>
    </row>
    <row r="35" spans="1:14" ht="27.75" customHeight="1" x14ac:dyDescent="0.2">
      <c r="A35" s="9" t="s">
        <v>228</v>
      </c>
      <c r="B35" s="9" t="s">
        <v>250</v>
      </c>
      <c r="C35" s="9" t="s">
        <v>182</v>
      </c>
      <c r="D35" s="9" t="s">
        <v>175</v>
      </c>
      <c r="E35" s="9">
        <v>5</v>
      </c>
      <c r="F35" s="9">
        <v>634</v>
      </c>
      <c r="G35" s="9">
        <v>4</v>
      </c>
      <c r="H35" s="9"/>
      <c r="I35" s="9"/>
      <c r="J35" s="9"/>
      <c r="K35" s="9"/>
      <c r="L35" s="9"/>
      <c r="M35" s="9"/>
      <c r="N35" s="18" t="s">
        <v>179</v>
      </c>
    </row>
    <row r="36" spans="1:14" ht="42.75" customHeight="1" x14ac:dyDescent="0.2">
      <c r="A36" s="9" t="s">
        <v>228</v>
      </c>
      <c r="B36" s="9" t="s">
        <v>251</v>
      </c>
      <c r="C36" s="9" t="s">
        <v>182</v>
      </c>
      <c r="D36" s="9" t="s">
        <v>175</v>
      </c>
      <c r="E36" s="9">
        <v>5</v>
      </c>
      <c r="F36" s="9">
        <v>639</v>
      </c>
      <c r="G36" s="9">
        <v>0</v>
      </c>
      <c r="H36" s="9" t="s">
        <v>252</v>
      </c>
      <c r="I36" s="9">
        <v>8</v>
      </c>
      <c r="J36" s="9">
        <v>4</v>
      </c>
      <c r="K36" s="9">
        <v>6</v>
      </c>
      <c r="L36" s="9" t="s">
        <v>253</v>
      </c>
      <c r="M36" s="9" t="s">
        <v>254</v>
      </c>
      <c r="N36" s="18" t="s">
        <v>179</v>
      </c>
    </row>
    <row r="37" spans="1:14" ht="32.25" customHeight="1" x14ac:dyDescent="0.2">
      <c r="A37" s="9" t="s">
        <v>255</v>
      </c>
      <c r="B37" s="9" t="s">
        <v>256</v>
      </c>
      <c r="C37" s="9" t="s">
        <v>257</v>
      </c>
      <c r="D37" s="9" t="s">
        <v>175</v>
      </c>
      <c r="E37" s="9">
        <v>81</v>
      </c>
      <c r="F37" s="9">
        <v>709</v>
      </c>
      <c r="G37" s="9">
        <v>123</v>
      </c>
      <c r="H37" s="9" t="s">
        <v>258</v>
      </c>
      <c r="I37" s="9">
        <v>9</v>
      </c>
      <c r="J37" s="9">
        <v>2</v>
      </c>
      <c r="K37" s="9">
        <v>12</v>
      </c>
      <c r="L37" s="9" t="s">
        <v>259</v>
      </c>
      <c r="M37" s="9" t="s">
        <v>222</v>
      </c>
      <c r="N37" s="18" t="s">
        <v>179</v>
      </c>
    </row>
    <row r="38" spans="1:14" ht="27.75" customHeight="1" x14ac:dyDescent="0.2">
      <c r="A38" s="9" t="s">
        <v>239</v>
      </c>
      <c r="B38" s="9" t="s">
        <v>260</v>
      </c>
      <c r="C38" s="9" t="s">
        <v>182</v>
      </c>
      <c r="D38" s="9" t="s">
        <v>175</v>
      </c>
      <c r="E38" s="9">
        <v>9</v>
      </c>
      <c r="F38" s="9">
        <v>1632</v>
      </c>
      <c r="G38" s="9">
        <v>109</v>
      </c>
      <c r="H38" s="9" t="s">
        <v>261</v>
      </c>
      <c r="I38" s="9">
        <v>7</v>
      </c>
      <c r="J38" s="9">
        <v>2</v>
      </c>
      <c r="K38" s="9">
        <v>4</v>
      </c>
      <c r="L38" s="9"/>
      <c r="M38" s="9"/>
      <c r="N38" s="18" t="s">
        <v>179</v>
      </c>
    </row>
    <row r="39" spans="1:14" ht="32.25" customHeight="1" x14ac:dyDescent="0.2">
      <c r="A39" s="9" t="s">
        <v>217</v>
      </c>
      <c r="B39" s="9" t="s">
        <v>262</v>
      </c>
      <c r="C39" s="9" t="s">
        <v>182</v>
      </c>
      <c r="D39" s="9" t="s">
        <v>175</v>
      </c>
      <c r="E39" s="9">
        <v>6</v>
      </c>
      <c r="F39" s="9">
        <v>1991</v>
      </c>
      <c r="G39" s="9">
        <v>24</v>
      </c>
      <c r="H39" s="9" t="s">
        <v>207</v>
      </c>
      <c r="I39" s="9" t="s">
        <v>263</v>
      </c>
      <c r="J39" s="9">
        <v>2</v>
      </c>
      <c r="K39" s="9">
        <v>7</v>
      </c>
      <c r="L39" s="9" t="s">
        <v>264</v>
      </c>
      <c r="M39" s="9"/>
      <c r="N39" s="18" t="s">
        <v>179</v>
      </c>
    </row>
    <row r="40" spans="1:14" ht="27.75" customHeight="1" x14ac:dyDescent="0.2">
      <c r="A40" s="9" t="s">
        <v>205</v>
      </c>
      <c r="B40" s="9" t="s">
        <v>265</v>
      </c>
      <c r="C40" s="9" t="s">
        <v>174</v>
      </c>
      <c r="D40" s="9" t="s">
        <v>245</v>
      </c>
      <c r="E40" s="9">
        <v>71</v>
      </c>
      <c r="F40" s="9">
        <v>64</v>
      </c>
      <c r="G40" s="9">
        <v>10</v>
      </c>
      <c r="H40" s="9" t="s">
        <v>207</v>
      </c>
      <c r="I40" s="9"/>
      <c r="J40" s="9"/>
      <c r="K40" s="9"/>
      <c r="L40" s="9"/>
      <c r="M40" s="9"/>
      <c r="N40" s="18" t="s">
        <v>179</v>
      </c>
    </row>
    <row r="41" spans="1:14" ht="27.75" customHeight="1" x14ac:dyDescent="0.2">
      <c r="A41" s="9" t="s">
        <v>266</v>
      </c>
      <c r="B41" s="9" t="s">
        <v>267</v>
      </c>
      <c r="C41" s="9" t="s">
        <v>174</v>
      </c>
      <c r="D41" s="9" t="s">
        <v>175</v>
      </c>
      <c r="E41" s="9">
        <v>5</v>
      </c>
      <c r="F41" s="9">
        <v>62</v>
      </c>
      <c r="G41" s="9">
        <v>2</v>
      </c>
      <c r="H41" s="9"/>
      <c r="I41" s="9"/>
      <c r="J41" s="9"/>
      <c r="K41" s="9"/>
      <c r="L41" s="9"/>
      <c r="M41" s="9"/>
      <c r="N41" s="18" t="s">
        <v>179</v>
      </c>
    </row>
    <row r="42" spans="1:14" ht="27.75" customHeight="1" x14ac:dyDescent="0.2">
      <c r="A42" s="9" t="s">
        <v>241</v>
      </c>
      <c r="B42" s="9" t="s">
        <v>268</v>
      </c>
      <c r="C42" s="9" t="s">
        <v>174</v>
      </c>
      <c r="D42" s="9" t="s">
        <v>175</v>
      </c>
      <c r="E42" s="9">
        <v>26</v>
      </c>
      <c r="F42" s="9">
        <v>52</v>
      </c>
      <c r="G42" s="9">
        <v>1</v>
      </c>
      <c r="H42" s="9"/>
      <c r="I42" s="9"/>
      <c r="J42" s="9"/>
      <c r="K42" s="9" t="s">
        <v>243</v>
      </c>
      <c r="L42" s="9"/>
      <c r="M42" s="9"/>
      <c r="N42" s="18" t="s">
        <v>179</v>
      </c>
    </row>
    <row r="43" spans="1:14" ht="27.75" customHeight="1" x14ac:dyDescent="0.2">
      <c r="A43" s="9" t="s">
        <v>269</v>
      </c>
      <c r="B43" s="9" t="s">
        <v>270</v>
      </c>
      <c r="C43" s="9" t="s">
        <v>182</v>
      </c>
      <c r="D43" s="9" t="s">
        <v>175</v>
      </c>
      <c r="E43" s="9">
        <v>4</v>
      </c>
      <c r="F43" s="9">
        <v>13101</v>
      </c>
      <c r="G43" s="9">
        <v>121</v>
      </c>
      <c r="H43" s="9" t="s">
        <v>176</v>
      </c>
      <c r="I43" s="9">
        <v>6</v>
      </c>
      <c r="J43" s="9">
        <v>3</v>
      </c>
      <c r="K43" s="9" t="s">
        <v>177</v>
      </c>
      <c r="L43" s="9"/>
      <c r="M43" s="9"/>
      <c r="N43" s="18" t="s">
        <v>179</v>
      </c>
    </row>
    <row r="44" spans="1:14" ht="27.75" customHeight="1" x14ac:dyDescent="0.2">
      <c r="A44" s="9" t="s">
        <v>271</v>
      </c>
      <c r="B44" s="9" t="s">
        <v>272</v>
      </c>
      <c r="C44" s="9" t="s">
        <v>174</v>
      </c>
      <c r="D44" s="9" t="s">
        <v>183</v>
      </c>
      <c r="E44" s="9">
        <v>40</v>
      </c>
      <c r="F44" s="9">
        <v>48</v>
      </c>
      <c r="G44" s="9">
        <v>8</v>
      </c>
      <c r="H44" s="9" t="s">
        <v>273</v>
      </c>
      <c r="I44" s="9">
        <v>8</v>
      </c>
      <c r="J44" s="9">
        <v>8</v>
      </c>
      <c r="K44" s="9"/>
      <c r="L44" s="9"/>
      <c r="M44" s="9"/>
      <c r="N44" s="18" t="s">
        <v>179</v>
      </c>
    </row>
    <row r="45" spans="1:14" ht="27.75" customHeight="1" x14ac:dyDescent="0.2">
      <c r="A45" s="9" t="s">
        <v>274</v>
      </c>
      <c r="B45" s="9" t="s">
        <v>174</v>
      </c>
      <c r="C45" s="9" t="s">
        <v>174</v>
      </c>
      <c r="D45" s="9" t="s">
        <v>183</v>
      </c>
      <c r="E45" s="9">
        <v>20</v>
      </c>
      <c r="F45" s="9">
        <v>44</v>
      </c>
      <c r="G45" s="9">
        <v>0</v>
      </c>
      <c r="H45" s="9" t="s">
        <v>215</v>
      </c>
      <c r="I45" s="9">
        <v>10</v>
      </c>
      <c r="J45" s="9">
        <v>0</v>
      </c>
      <c r="K45" s="9">
        <v>1</v>
      </c>
      <c r="L45" s="9"/>
      <c r="M45" s="9"/>
      <c r="N45" s="18" t="s">
        <v>179</v>
      </c>
    </row>
    <row r="46" spans="1:14" ht="27.75" customHeight="1" x14ac:dyDescent="0.2">
      <c r="A46" s="9" t="s">
        <v>241</v>
      </c>
      <c r="B46" s="9" t="s">
        <v>275</v>
      </c>
      <c r="C46" s="9" t="s">
        <v>182</v>
      </c>
      <c r="D46" s="9" t="s">
        <v>245</v>
      </c>
      <c r="E46" s="9">
        <v>226</v>
      </c>
      <c r="F46" s="9">
        <v>4</v>
      </c>
      <c r="G46" s="9">
        <v>3</v>
      </c>
      <c r="H46" s="9" t="s">
        <v>207</v>
      </c>
      <c r="I46" s="9"/>
      <c r="J46" s="9"/>
      <c r="K46" s="9"/>
      <c r="L46" s="9"/>
      <c r="M46" s="9"/>
      <c r="N46" s="18" t="s">
        <v>179</v>
      </c>
    </row>
    <row r="47" spans="1:14" ht="27.75" customHeight="1" x14ac:dyDescent="0.2">
      <c r="A47" s="9" t="s">
        <v>241</v>
      </c>
      <c r="B47" s="9" t="s">
        <v>276</v>
      </c>
      <c r="C47" s="9" t="s">
        <v>174</v>
      </c>
      <c r="D47" s="9" t="s">
        <v>175</v>
      </c>
      <c r="E47" s="9">
        <v>87</v>
      </c>
      <c r="F47" s="9">
        <v>41</v>
      </c>
      <c r="G47" s="9">
        <v>28</v>
      </c>
      <c r="H47" s="9" t="s">
        <v>207</v>
      </c>
      <c r="I47" s="9"/>
      <c r="J47" s="9"/>
      <c r="K47" s="9" t="s">
        <v>243</v>
      </c>
      <c r="L47" s="9"/>
      <c r="M47" s="9"/>
      <c r="N47" s="18" t="s">
        <v>179</v>
      </c>
    </row>
    <row r="48" spans="1:14" ht="27.75" customHeight="1" x14ac:dyDescent="0.2">
      <c r="A48" s="9" t="s">
        <v>234</v>
      </c>
      <c r="B48" s="9" t="s">
        <v>277</v>
      </c>
      <c r="C48" s="9" t="s">
        <v>182</v>
      </c>
      <c r="D48" s="9" t="s">
        <v>245</v>
      </c>
      <c r="E48" s="9">
        <v>168</v>
      </c>
      <c r="F48" s="9">
        <v>1</v>
      </c>
      <c r="G48" s="9">
        <v>2</v>
      </c>
      <c r="H48" s="9"/>
      <c r="I48" s="9"/>
      <c r="J48" s="9"/>
      <c r="K48" s="9"/>
      <c r="L48" s="9"/>
      <c r="M48" s="9"/>
      <c r="N48" s="18" t="s">
        <v>179</v>
      </c>
    </row>
    <row r="49" spans="1:14" ht="42.75" customHeight="1" x14ac:dyDescent="0.2">
      <c r="A49" s="9" t="s">
        <v>241</v>
      </c>
      <c r="B49" s="9" t="s">
        <v>278</v>
      </c>
      <c r="C49" s="9" t="s">
        <v>174</v>
      </c>
      <c r="D49" s="9" t="s">
        <v>183</v>
      </c>
      <c r="E49" s="9">
        <v>152</v>
      </c>
      <c r="F49" s="9">
        <v>40</v>
      </c>
      <c r="G49" s="9">
        <v>55</v>
      </c>
      <c r="H49" s="9" t="s">
        <v>279</v>
      </c>
      <c r="I49" s="9">
        <v>14</v>
      </c>
      <c r="J49" s="9">
        <v>5</v>
      </c>
      <c r="K49" s="9" t="s">
        <v>243</v>
      </c>
      <c r="L49" s="9"/>
      <c r="M49" s="9" t="s">
        <v>213</v>
      </c>
      <c r="N49" s="18" t="s">
        <v>179</v>
      </c>
    </row>
    <row r="50" spans="1:14" ht="27.75" customHeight="1" x14ac:dyDescent="0.2">
      <c r="A50" s="9" t="s">
        <v>280</v>
      </c>
      <c r="B50" s="9" t="s">
        <v>281</v>
      </c>
      <c r="C50" s="9" t="s">
        <v>174</v>
      </c>
      <c r="D50" s="9" t="s">
        <v>175</v>
      </c>
      <c r="E50" s="9">
        <v>12</v>
      </c>
      <c r="F50" s="9">
        <v>40</v>
      </c>
      <c r="G50" s="9">
        <v>4</v>
      </c>
      <c r="H50" s="9"/>
      <c r="I50" s="9"/>
      <c r="J50" s="9"/>
      <c r="K50" s="9" t="s">
        <v>243</v>
      </c>
      <c r="L50" s="9"/>
      <c r="M50" s="9"/>
      <c r="N50" s="18" t="s">
        <v>179</v>
      </c>
    </row>
    <row r="51" spans="1:14" ht="27.75" customHeight="1" x14ac:dyDescent="0.2">
      <c r="A51" s="9" t="s">
        <v>282</v>
      </c>
      <c r="B51" s="9" t="s">
        <v>283</v>
      </c>
      <c r="C51" s="9" t="s">
        <v>174</v>
      </c>
      <c r="D51" s="9" t="s">
        <v>245</v>
      </c>
      <c r="E51" s="9">
        <v>25</v>
      </c>
      <c r="F51" s="9">
        <v>30</v>
      </c>
      <c r="G51" s="9">
        <v>2</v>
      </c>
      <c r="H51" s="9"/>
      <c r="I51" s="9"/>
      <c r="J51" s="9"/>
      <c r="K51" s="9"/>
      <c r="L51" s="9"/>
      <c r="M51" s="9"/>
      <c r="N51" s="18" t="s">
        <v>179</v>
      </c>
    </row>
    <row r="52" spans="1:14" ht="27.75" customHeight="1" x14ac:dyDescent="0.2">
      <c r="A52" s="9" t="s">
        <v>217</v>
      </c>
      <c r="B52" s="9" t="s">
        <v>284</v>
      </c>
      <c r="C52" s="9" t="s">
        <v>174</v>
      </c>
      <c r="D52" s="9" t="s">
        <v>245</v>
      </c>
      <c r="E52" s="9">
        <v>47</v>
      </c>
      <c r="F52" s="9">
        <v>19</v>
      </c>
      <c r="G52" s="9">
        <v>8</v>
      </c>
      <c r="H52" s="9" t="s">
        <v>207</v>
      </c>
      <c r="I52" s="9"/>
      <c r="J52" s="9"/>
      <c r="K52" s="9"/>
      <c r="L52" s="9"/>
      <c r="M52" s="9"/>
      <c r="N52" s="18" t="s">
        <v>179</v>
      </c>
    </row>
    <row r="53" spans="1:14" ht="27.75" customHeight="1" x14ac:dyDescent="0.2">
      <c r="A53" s="9" t="s">
        <v>282</v>
      </c>
      <c r="B53" s="9" t="s">
        <v>285</v>
      </c>
      <c r="C53" s="9" t="s">
        <v>182</v>
      </c>
      <c r="D53" s="9" t="s">
        <v>245</v>
      </c>
      <c r="E53" s="9">
        <v>98</v>
      </c>
      <c r="F53" s="9">
        <v>2</v>
      </c>
      <c r="G53" s="9">
        <v>0</v>
      </c>
      <c r="H53" s="9"/>
      <c r="I53" s="9"/>
      <c r="J53" s="9"/>
      <c r="K53" s="9"/>
      <c r="L53" s="9"/>
      <c r="M53" s="9"/>
      <c r="N53" s="18" t="s">
        <v>179</v>
      </c>
    </row>
    <row r="54" spans="1:14" ht="27.75" customHeight="1" x14ac:dyDescent="0.2">
      <c r="A54" s="9" t="s">
        <v>239</v>
      </c>
      <c r="B54" s="9" t="s">
        <v>286</v>
      </c>
      <c r="C54" s="9" t="s">
        <v>182</v>
      </c>
      <c r="D54" s="9" t="s">
        <v>245</v>
      </c>
      <c r="E54" s="9">
        <v>80</v>
      </c>
      <c r="F54" s="9">
        <v>6</v>
      </c>
      <c r="G54" s="9">
        <v>6</v>
      </c>
      <c r="H54" s="9"/>
      <c r="I54" s="9"/>
      <c r="J54" s="9"/>
      <c r="K54" s="9"/>
      <c r="L54" s="9"/>
      <c r="M54" s="9"/>
      <c r="N54" s="18" t="s">
        <v>179</v>
      </c>
    </row>
    <row r="55" spans="1:14" ht="27.75" customHeight="1" x14ac:dyDescent="0.2">
      <c r="A55" s="9" t="s">
        <v>287</v>
      </c>
      <c r="B55" s="9" t="s">
        <v>288</v>
      </c>
      <c r="C55" s="9" t="s">
        <v>174</v>
      </c>
      <c r="D55" s="9" t="s">
        <v>245</v>
      </c>
      <c r="E55" s="9">
        <v>39</v>
      </c>
      <c r="F55" s="9">
        <v>17</v>
      </c>
      <c r="G55" s="9">
        <v>0</v>
      </c>
      <c r="H55" s="9"/>
      <c r="I55" s="9"/>
      <c r="J55" s="9"/>
      <c r="K55" s="9"/>
      <c r="L55" s="9"/>
      <c r="M55" s="9"/>
      <c r="N55" s="18" t="s">
        <v>179</v>
      </c>
    </row>
    <row r="56" spans="1:14" ht="27.75" customHeight="1" x14ac:dyDescent="0.2">
      <c r="A56" s="9" t="s">
        <v>287</v>
      </c>
      <c r="B56" s="9" t="s">
        <v>289</v>
      </c>
      <c r="C56" s="9" t="s">
        <v>174</v>
      </c>
      <c r="D56" s="9" t="s">
        <v>245</v>
      </c>
      <c r="E56" s="9">
        <v>43</v>
      </c>
      <c r="F56" s="9">
        <v>13</v>
      </c>
      <c r="G56" s="9">
        <v>9</v>
      </c>
      <c r="H56" s="9"/>
      <c r="I56" s="9"/>
      <c r="J56" s="9"/>
      <c r="K56" s="9"/>
      <c r="L56" s="9"/>
      <c r="M56" s="9"/>
      <c r="N56" s="18" t="s">
        <v>179</v>
      </c>
    </row>
    <row r="57" spans="1:14" ht="27.75" customHeight="1" x14ac:dyDescent="0.2">
      <c r="A57" s="9" t="s">
        <v>217</v>
      </c>
      <c r="B57" s="9" t="s">
        <v>290</v>
      </c>
      <c r="C57" s="9" t="s">
        <v>174</v>
      </c>
      <c r="D57" s="9" t="s">
        <v>245</v>
      </c>
      <c r="E57" s="9">
        <v>40</v>
      </c>
      <c r="F57" s="9">
        <v>13</v>
      </c>
      <c r="G57" s="9">
        <v>9</v>
      </c>
      <c r="H57" s="9"/>
      <c r="I57" s="9"/>
      <c r="J57" s="9"/>
      <c r="K57" s="9"/>
      <c r="L57" s="9"/>
      <c r="M57" s="9"/>
      <c r="N57" s="18" t="s">
        <v>179</v>
      </c>
    </row>
    <row r="58" spans="1:14" ht="27.75" customHeight="1" x14ac:dyDescent="0.2">
      <c r="A58" s="9" t="s">
        <v>217</v>
      </c>
      <c r="B58" s="9" t="s">
        <v>291</v>
      </c>
      <c r="C58" s="9" t="s">
        <v>182</v>
      </c>
      <c r="D58" s="9" t="s">
        <v>245</v>
      </c>
      <c r="E58" s="9">
        <v>67</v>
      </c>
      <c r="F58" s="9">
        <v>176</v>
      </c>
      <c r="G58" s="9">
        <v>2</v>
      </c>
      <c r="H58" s="9" t="s">
        <v>207</v>
      </c>
      <c r="I58" s="9"/>
      <c r="J58" s="9"/>
      <c r="K58" s="9"/>
      <c r="L58" s="9"/>
      <c r="M58" s="9"/>
      <c r="N58" s="18" t="s">
        <v>179</v>
      </c>
    </row>
    <row r="59" spans="1:14" ht="27.75" customHeight="1" x14ac:dyDescent="0.2">
      <c r="A59" s="9" t="s">
        <v>292</v>
      </c>
      <c r="B59" s="9" t="s">
        <v>293</v>
      </c>
      <c r="C59" s="9" t="s">
        <v>182</v>
      </c>
      <c r="D59" s="9" t="s">
        <v>245</v>
      </c>
      <c r="E59" s="9">
        <v>64</v>
      </c>
      <c r="F59" s="9">
        <v>3</v>
      </c>
      <c r="G59" s="9">
        <v>5</v>
      </c>
      <c r="H59" s="9"/>
      <c r="I59" s="9"/>
      <c r="J59" s="9"/>
      <c r="K59" s="9"/>
      <c r="L59" s="9"/>
      <c r="M59" s="9"/>
      <c r="N59" s="18" t="s">
        <v>179</v>
      </c>
    </row>
    <row r="60" spans="1:14" ht="27.75" customHeight="1" x14ac:dyDescent="0.2">
      <c r="A60" s="9" t="s">
        <v>217</v>
      </c>
      <c r="B60" s="9" t="s">
        <v>294</v>
      </c>
      <c r="C60" s="9" t="s">
        <v>182</v>
      </c>
      <c r="D60" s="9" t="s">
        <v>245</v>
      </c>
      <c r="E60" s="9">
        <v>58</v>
      </c>
      <c r="F60" s="9">
        <v>260</v>
      </c>
      <c r="G60" s="9">
        <v>107</v>
      </c>
      <c r="H60" s="9" t="s">
        <v>207</v>
      </c>
      <c r="I60" s="9"/>
      <c r="J60" s="9"/>
      <c r="K60" s="9"/>
      <c r="L60" s="9"/>
      <c r="M60" s="9"/>
      <c r="N60" s="18" t="s">
        <v>179</v>
      </c>
    </row>
    <row r="61" spans="1:14" ht="27.75" customHeight="1" x14ac:dyDescent="0.2">
      <c r="A61" s="9" t="s">
        <v>217</v>
      </c>
      <c r="B61" s="9" t="s">
        <v>295</v>
      </c>
      <c r="C61" s="9" t="s">
        <v>182</v>
      </c>
      <c r="D61" s="9" t="s">
        <v>245</v>
      </c>
      <c r="E61" s="9">
        <v>57</v>
      </c>
      <c r="F61" s="9">
        <v>7</v>
      </c>
      <c r="G61" s="9">
        <v>9</v>
      </c>
      <c r="H61" s="9" t="s">
        <v>207</v>
      </c>
      <c r="I61" s="9"/>
      <c r="J61" s="9"/>
      <c r="K61" s="9"/>
      <c r="L61" s="9"/>
      <c r="M61" s="9"/>
      <c r="N61" s="18" t="s">
        <v>179</v>
      </c>
    </row>
    <row r="62" spans="1:14" ht="27.75" customHeight="1" x14ac:dyDescent="0.2">
      <c r="A62" s="9" t="s">
        <v>292</v>
      </c>
      <c r="B62" s="9" t="s">
        <v>296</v>
      </c>
      <c r="C62" s="9" t="s">
        <v>182</v>
      </c>
      <c r="D62" s="9"/>
      <c r="E62" s="9">
        <v>53</v>
      </c>
      <c r="F62" s="9">
        <v>1</v>
      </c>
      <c r="G62" s="9">
        <v>0</v>
      </c>
      <c r="H62" s="9"/>
      <c r="I62" s="9"/>
      <c r="J62" s="9"/>
      <c r="K62" s="9"/>
      <c r="L62" s="9"/>
      <c r="M62" s="9"/>
      <c r="N62" s="18" t="s">
        <v>179</v>
      </c>
    </row>
    <row r="63" spans="1:14" ht="27.75" customHeight="1" x14ac:dyDescent="0.2">
      <c r="A63" s="9" t="s">
        <v>217</v>
      </c>
      <c r="B63" s="9" t="s">
        <v>297</v>
      </c>
      <c r="C63" s="9" t="s">
        <v>182</v>
      </c>
      <c r="D63" s="9" t="s">
        <v>245</v>
      </c>
      <c r="E63" s="9">
        <v>48</v>
      </c>
      <c r="F63" s="9">
        <v>3</v>
      </c>
      <c r="G63" s="9">
        <v>1</v>
      </c>
      <c r="H63" s="9"/>
      <c r="I63" s="9"/>
      <c r="J63" s="9"/>
      <c r="K63" s="9"/>
      <c r="L63" s="9"/>
      <c r="M63" s="9"/>
      <c r="N63" s="18" t="s">
        <v>179</v>
      </c>
    </row>
    <row r="64" spans="1:14" ht="27.75" customHeight="1" x14ac:dyDescent="0.2">
      <c r="A64" s="9" t="s">
        <v>298</v>
      </c>
      <c r="B64" s="9" t="s">
        <v>299</v>
      </c>
      <c r="C64" s="9" t="s">
        <v>182</v>
      </c>
      <c r="D64" s="9" t="s">
        <v>245</v>
      </c>
      <c r="E64" s="9">
        <v>44</v>
      </c>
      <c r="F64" s="9">
        <v>17</v>
      </c>
      <c r="G64" s="9">
        <v>1</v>
      </c>
      <c r="H64" s="9"/>
      <c r="I64" s="9"/>
      <c r="J64" s="9"/>
      <c r="K64" s="9"/>
      <c r="L64" s="9"/>
      <c r="M64" s="9"/>
      <c r="N64" s="18" t="s">
        <v>179</v>
      </c>
    </row>
    <row r="65" spans="1:14" ht="27.75" customHeight="1" x14ac:dyDescent="0.2">
      <c r="A65" s="9" t="s">
        <v>300</v>
      </c>
      <c r="B65" s="9" t="s">
        <v>301</v>
      </c>
      <c r="C65" s="9" t="s">
        <v>174</v>
      </c>
      <c r="D65" s="9" t="s">
        <v>245</v>
      </c>
      <c r="E65" s="9">
        <v>28</v>
      </c>
      <c r="F65" s="9">
        <v>7</v>
      </c>
      <c r="G65" s="9">
        <v>0</v>
      </c>
      <c r="H65" s="9"/>
      <c r="I65" s="9"/>
      <c r="J65" s="9"/>
      <c r="K65" s="9"/>
      <c r="L65" s="9"/>
      <c r="M65" s="9"/>
      <c r="N65" s="18" t="s">
        <v>179</v>
      </c>
    </row>
    <row r="66" spans="1:14" ht="27.75" customHeight="1" x14ac:dyDescent="0.2">
      <c r="A66" s="9" t="s">
        <v>241</v>
      </c>
      <c r="B66" s="9" t="s">
        <v>302</v>
      </c>
      <c r="C66" s="9" t="s">
        <v>212</v>
      </c>
      <c r="D66" s="9" t="s">
        <v>245</v>
      </c>
      <c r="E66" s="9">
        <v>141</v>
      </c>
      <c r="F66" s="9">
        <v>4</v>
      </c>
      <c r="G66" s="9">
        <v>5</v>
      </c>
      <c r="H66" s="9" t="s">
        <v>207</v>
      </c>
      <c r="I66" s="9"/>
      <c r="J66" s="9"/>
      <c r="K66" s="9"/>
      <c r="L66" s="9"/>
      <c r="M66" s="9"/>
      <c r="N66" s="18" t="s">
        <v>179</v>
      </c>
    </row>
    <row r="67" spans="1:14" ht="27.75" customHeight="1" x14ac:dyDescent="0.2">
      <c r="A67" s="9" t="s">
        <v>234</v>
      </c>
      <c r="B67" s="9" t="s">
        <v>303</v>
      </c>
      <c r="C67" s="9" t="s">
        <v>174</v>
      </c>
      <c r="D67" s="9" t="s">
        <v>245</v>
      </c>
      <c r="E67" s="9">
        <v>233</v>
      </c>
      <c r="F67" s="9">
        <v>4</v>
      </c>
      <c r="G67" s="9">
        <v>2</v>
      </c>
      <c r="H67" s="9"/>
      <c r="I67" s="9"/>
      <c r="J67" s="9"/>
      <c r="K67" s="9"/>
      <c r="L67" s="9"/>
      <c r="M67" s="9"/>
      <c r="N67" s="18" t="s">
        <v>179</v>
      </c>
    </row>
    <row r="68" spans="1:14" ht="27.75" customHeight="1" x14ac:dyDescent="0.2">
      <c r="A68" s="9" t="s">
        <v>239</v>
      </c>
      <c r="B68" s="9" t="s">
        <v>304</v>
      </c>
      <c r="C68" s="9" t="s">
        <v>174</v>
      </c>
      <c r="D68" s="9" t="s">
        <v>245</v>
      </c>
      <c r="E68" s="9">
        <v>130</v>
      </c>
      <c r="F68" s="9">
        <v>3</v>
      </c>
      <c r="G68" s="9">
        <v>21</v>
      </c>
      <c r="H68" s="9"/>
      <c r="I68" s="9"/>
      <c r="J68" s="9"/>
      <c r="K68" s="9"/>
      <c r="L68" s="9"/>
      <c r="M68" s="9"/>
      <c r="N68" s="18" t="s">
        <v>179</v>
      </c>
    </row>
    <row r="69" spans="1:14" ht="27.75" customHeight="1" x14ac:dyDescent="0.2">
      <c r="A69" s="9" t="s">
        <v>305</v>
      </c>
      <c r="B69" s="9" t="s">
        <v>306</v>
      </c>
      <c r="C69" s="9" t="s">
        <v>174</v>
      </c>
      <c r="D69" s="9" t="s">
        <v>245</v>
      </c>
      <c r="E69" s="9">
        <v>99</v>
      </c>
      <c r="F69" s="9">
        <v>3</v>
      </c>
      <c r="G69" s="9">
        <v>0</v>
      </c>
      <c r="H69" s="9"/>
      <c r="I69" s="9"/>
      <c r="J69" s="9"/>
      <c r="K69" s="9"/>
      <c r="L69" s="9"/>
      <c r="M69" s="9"/>
      <c r="N69" s="18" t="s">
        <v>179</v>
      </c>
    </row>
    <row r="70" spans="1:14" ht="27.75" customHeight="1" x14ac:dyDescent="0.2">
      <c r="A70" s="9" t="s">
        <v>239</v>
      </c>
      <c r="B70" s="9" t="s">
        <v>307</v>
      </c>
      <c r="C70" s="9" t="s">
        <v>174</v>
      </c>
      <c r="D70" s="9" t="s">
        <v>245</v>
      </c>
      <c r="E70" s="9">
        <v>100</v>
      </c>
      <c r="F70" s="9">
        <v>1</v>
      </c>
      <c r="G70" s="9">
        <v>1</v>
      </c>
      <c r="H70" s="9"/>
      <c r="I70" s="9"/>
      <c r="J70" s="9"/>
      <c r="K70" s="9"/>
      <c r="L70" s="9"/>
      <c r="M70" s="9"/>
      <c r="N70" s="18" t="s">
        <v>179</v>
      </c>
    </row>
    <row r="71" spans="1:14" ht="27.75" customHeight="1" x14ac:dyDescent="0.2">
      <c r="A71" s="9" t="s">
        <v>196</v>
      </c>
      <c r="B71" s="9" t="s">
        <v>308</v>
      </c>
      <c r="C71" s="9" t="s">
        <v>182</v>
      </c>
      <c r="D71" s="9" t="s">
        <v>245</v>
      </c>
      <c r="E71" s="9">
        <v>18</v>
      </c>
      <c r="F71" s="9">
        <v>7</v>
      </c>
      <c r="G71" s="9">
        <v>6</v>
      </c>
      <c r="H71" s="9"/>
      <c r="I71" s="9"/>
      <c r="J71" s="9"/>
      <c r="K71" s="9"/>
      <c r="L71" s="9"/>
      <c r="M71" s="9"/>
      <c r="N71" s="18" t="s">
        <v>179</v>
      </c>
    </row>
    <row r="72" spans="1:14" ht="27.75" customHeight="1" x14ac:dyDescent="0.2">
      <c r="A72" s="9" t="s">
        <v>300</v>
      </c>
      <c r="B72" s="9" t="s">
        <v>309</v>
      </c>
      <c r="C72" s="9" t="s">
        <v>182</v>
      </c>
      <c r="D72" s="9"/>
      <c r="E72" s="9">
        <v>16</v>
      </c>
      <c r="F72" s="9">
        <v>20</v>
      </c>
      <c r="G72" s="9">
        <v>4</v>
      </c>
      <c r="H72" s="9"/>
      <c r="I72" s="9"/>
      <c r="J72" s="9"/>
      <c r="K72" s="9"/>
      <c r="L72" s="9"/>
      <c r="M72" s="9"/>
      <c r="N72" s="18" t="s">
        <v>179</v>
      </c>
    </row>
    <row r="73" spans="1:14" ht="27.75" customHeight="1" x14ac:dyDescent="0.2">
      <c r="A73" s="9" t="s">
        <v>282</v>
      </c>
      <c r="B73" s="9" t="s">
        <v>310</v>
      </c>
      <c r="C73" s="9" t="s">
        <v>174</v>
      </c>
      <c r="D73" s="9"/>
      <c r="E73" s="9">
        <v>24</v>
      </c>
      <c r="F73" s="9">
        <v>1</v>
      </c>
      <c r="G73" s="9">
        <v>0</v>
      </c>
      <c r="H73" s="9"/>
      <c r="I73" s="9"/>
      <c r="J73" s="9"/>
      <c r="K73" s="9"/>
      <c r="L73" s="9"/>
      <c r="M73" s="9"/>
      <c r="N73" s="18" t="s">
        <v>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11"/>
  <sheetViews>
    <sheetView showGridLines="0" zoomScaleNormal="10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O7" sqref="O7"/>
    </sheetView>
  </sheetViews>
  <sheetFormatPr baseColWidth="10" defaultColWidth="8.6640625" defaultRowHeight="15" x14ac:dyDescent="0.2"/>
  <cols>
    <col min="1" max="1" width="5" customWidth="1"/>
    <col min="2" max="2" width="20" customWidth="1"/>
    <col min="3" max="3" width="30" customWidth="1"/>
    <col min="4" max="4" width="24" customWidth="1"/>
    <col min="5" max="5" width="20" customWidth="1"/>
    <col min="6" max="7" width="11" customWidth="1"/>
    <col min="8" max="8" width="8" customWidth="1"/>
    <col min="9" max="10" width="9" customWidth="1"/>
    <col min="11" max="12" width="8" customWidth="1"/>
    <col min="13" max="13" width="12" customWidth="1"/>
    <col min="14" max="14" width="9" customWidth="1"/>
    <col min="15" max="15" width="11" customWidth="1"/>
    <col min="16" max="16" width="9" customWidth="1"/>
    <col min="17" max="17" width="10" customWidth="1"/>
    <col min="18" max="20" width="9" customWidth="1"/>
    <col min="21" max="21" width="8" customWidth="1"/>
    <col min="22" max="22" width="12" customWidth="1"/>
    <col min="23" max="23" width="34" customWidth="1"/>
  </cols>
  <sheetData>
    <row r="1" spans="1:23" ht="15.75" customHeight="1" x14ac:dyDescent="0.2">
      <c r="A1" s="15" t="s">
        <v>311</v>
      </c>
      <c r="V1" s="66"/>
    </row>
    <row r="2" spans="1:23" ht="15" customHeight="1" x14ac:dyDescent="0.2">
      <c r="A2" s="19" t="s">
        <v>312</v>
      </c>
      <c r="E2" s="56" t="s">
        <v>313</v>
      </c>
      <c r="F2" s="56"/>
      <c r="G2" s="56"/>
      <c r="H2" s="56"/>
      <c r="I2" s="56"/>
      <c r="J2" s="56"/>
      <c r="K2" s="56"/>
      <c r="L2" s="56"/>
      <c r="M2" s="56"/>
      <c r="N2" s="56"/>
      <c r="V2" s="66"/>
    </row>
    <row r="3" spans="1:23" ht="15" customHeight="1" x14ac:dyDescent="0.2">
      <c r="B3" s="20" t="s">
        <v>314</v>
      </c>
      <c r="C3" s="21">
        <v>0.35</v>
      </c>
      <c r="E3" s="56"/>
      <c r="F3" s="56"/>
      <c r="G3" s="56"/>
      <c r="H3" s="56"/>
      <c r="I3" s="56"/>
      <c r="J3" s="56"/>
      <c r="K3" s="56"/>
      <c r="L3" s="56"/>
      <c r="M3" s="56"/>
      <c r="N3" s="56"/>
      <c r="V3" s="66"/>
    </row>
    <row r="4" spans="1:23" ht="15" customHeight="1" x14ac:dyDescent="0.2">
      <c r="B4" s="20" t="s">
        <v>315</v>
      </c>
      <c r="C4" s="21">
        <v>0.25</v>
      </c>
      <c r="E4" s="56"/>
      <c r="F4" s="56"/>
      <c r="G4" s="56"/>
      <c r="H4" s="56"/>
      <c r="I4" s="56"/>
      <c r="J4" s="56"/>
      <c r="K4" s="56"/>
      <c r="L4" s="56"/>
      <c r="M4" s="56"/>
      <c r="N4" s="56"/>
      <c r="V4" s="66"/>
    </row>
    <row r="5" spans="1:23" ht="15" customHeight="1" x14ac:dyDescent="0.2">
      <c r="B5" s="20" t="s">
        <v>316</v>
      </c>
      <c r="C5" s="21">
        <v>0.25</v>
      </c>
      <c r="E5" s="56"/>
      <c r="F5" s="56"/>
      <c r="G5" s="56"/>
      <c r="H5" s="56"/>
      <c r="I5" s="56"/>
      <c r="J5" s="56"/>
      <c r="K5" s="56"/>
      <c r="L5" s="56"/>
      <c r="M5" s="56"/>
      <c r="N5" s="56"/>
      <c r="V5" s="66"/>
    </row>
    <row r="6" spans="1:23" ht="15" customHeight="1" x14ac:dyDescent="0.2">
      <c r="B6" s="20" t="s">
        <v>317</v>
      </c>
      <c r="C6" s="21">
        <v>0.15</v>
      </c>
      <c r="E6" s="56"/>
      <c r="F6" s="56"/>
      <c r="G6" s="56"/>
      <c r="H6" s="56"/>
      <c r="I6" s="56"/>
      <c r="J6" s="56"/>
      <c r="K6" s="56"/>
      <c r="L6" s="56"/>
      <c r="M6" s="56"/>
      <c r="N6" s="56"/>
      <c r="V6" s="66"/>
    </row>
    <row r="7" spans="1:23" ht="15" customHeight="1" x14ac:dyDescent="0.2">
      <c r="B7" s="11" t="s">
        <v>318</v>
      </c>
      <c r="C7" s="22">
        <f>SUM(C3:C6)</f>
        <v>1</v>
      </c>
      <c r="V7" s="66"/>
    </row>
    <row r="9" spans="1:23" ht="43.5" customHeight="1" x14ac:dyDescent="0.2">
      <c r="A9" s="8" t="s">
        <v>319</v>
      </c>
      <c r="B9" s="8" t="s">
        <v>159</v>
      </c>
      <c r="C9" s="8" t="s">
        <v>320</v>
      </c>
      <c r="D9" s="8" t="s">
        <v>321</v>
      </c>
      <c r="E9" s="8" t="s">
        <v>322</v>
      </c>
      <c r="F9" s="8" t="s">
        <v>323</v>
      </c>
      <c r="G9" s="8" t="s">
        <v>324</v>
      </c>
      <c r="H9" s="8" t="s">
        <v>325</v>
      </c>
      <c r="I9" s="8" t="s">
        <v>326</v>
      </c>
      <c r="J9" s="8" t="s">
        <v>327</v>
      </c>
      <c r="K9" s="8" t="s">
        <v>328</v>
      </c>
      <c r="L9" s="8" t="s">
        <v>329</v>
      </c>
      <c r="M9" s="8" t="s">
        <v>330</v>
      </c>
      <c r="N9" s="8" t="s">
        <v>331</v>
      </c>
      <c r="O9" s="8" t="s">
        <v>332</v>
      </c>
      <c r="P9" s="8" t="s">
        <v>333</v>
      </c>
      <c r="Q9" s="8" t="s">
        <v>334</v>
      </c>
      <c r="R9" s="8" t="s">
        <v>335</v>
      </c>
      <c r="S9" s="8" t="s">
        <v>336</v>
      </c>
      <c r="T9" s="8" t="s">
        <v>337</v>
      </c>
      <c r="U9" s="8" t="s">
        <v>338</v>
      </c>
      <c r="V9" s="8" t="s">
        <v>339</v>
      </c>
      <c r="W9" s="8" t="s">
        <v>340</v>
      </c>
    </row>
    <row r="10" spans="1:23" ht="21.75" customHeight="1" x14ac:dyDescent="0.2">
      <c r="A10" s="23">
        <v>2</v>
      </c>
      <c r="B10" s="9" t="s">
        <v>347</v>
      </c>
      <c r="C10" s="9" t="s">
        <v>348</v>
      </c>
      <c r="D10" s="9"/>
      <c r="E10" s="9" t="s">
        <v>349</v>
      </c>
      <c r="F10" s="24">
        <v>864</v>
      </c>
      <c r="G10" s="24">
        <v>820</v>
      </c>
      <c r="H10" s="24">
        <v>3</v>
      </c>
      <c r="I10" s="25">
        <v>154.5</v>
      </c>
      <c r="J10" s="25">
        <v>156.30000000000001</v>
      </c>
      <c r="K10" s="26">
        <v>0.66700000000000004</v>
      </c>
      <c r="L10" s="26">
        <v>0.33300000000000002</v>
      </c>
      <c r="M10" s="24">
        <v>7485</v>
      </c>
      <c r="N10" s="28" t="s">
        <v>344</v>
      </c>
      <c r="O10" s="28" t="s">
        <v>345</v>
      </c>
      <c r="P10" s="28" t="s">
        <v>344</v>
      </c>
      <c r="Q10" s="28" t="s">
        <v>345</v>
      </c>
      <c r="R10" s="29">
        <f>LN(F10+1)/LN(MAX($F$10:$F$511)+1)*100</f>
        <v>68.17774533398277</v>
      </c>
      <c r="S10" s="29">
        <f>IF(H10=0,0,(K10*0.5+L10*0.5)*100)</f>
        <v>50</v>
      </c>
      <c r="T10" s="29">
        <f>IF(M10="",0,MIN(100,M10/MAX($M$10:$M$511)*100))</f>
        <v>100</v>
      </c>
      <c r="U10" s="29">
        <f>MIN(100,IF(O10="Yes",50,0)+IF(N10="Yes",30,0)+IF(P10="Yes",20,0))</f>
        <v>50</v>
      </c>
      <c r="V10" s="30">
        <f>ROUND(U10*$C$3+S10*$C$4+T10*$C$5+R10*$C$6,1)</f>
        <v>65.2</v>
      </c>
      <c r="W10" s="9" t="s">
        <v>350</v>
      </c>
    </row>
    <row r="11" spans="1:23" ht="21.75" customHeight="1" x14ac:dyDescent="0.2">
      <c r="A11" s="23">
        <v>9</v>
      </c>
      <c r="B11" s="9" t="s">
        <v>366</v>
      </c>
      <c r="C11" s="9" t="s">
        <v>367</v>
      </c>
      <c r="D11" s="9" t="s">
        <v>368</v>
      </c>
      <c r="E11" s="9" t="s">
        <v>369</v>
      </c>
      <c r="F11" s="24">
        <v>238</v>
      </c>
      <c r="G11" s="24">
        <v>2132</v>
      </c>
      <c r="H11" s="24">
        <v>238</v>
      </c>
      <c r="I11" s="25">
        <v>242.5</v>
      </c>
      <c r="J11" s="25">
        <v>269.3</v>
      </c>
      <c r="K11" s="26">
        <v>0.92400000000000004</v>
      </c>
      <c r="L11" s="26">
        <v>0.63400000000000001</v>
      </c>
      <c r="M11" s="24">
        <v>3027</v>
      </c>
      <c r="N11" s="31"/>
      <c r="O11" s="32" t="s">
        <v>344</v>
      </c>
      <c r="P11" s="28"/>
      <c r="Q11" s="28" t="s">
        <v>345</v>
      </c>
      <c r="R11" s="29">
        <f>LN(F11+1)/LN(MAX($F$10:$F$511)+1)*100</f>
        <v>55.210390566665957</v>
      </c>
      <c r="S11" s="29">
        <f>IF(H11=0,0,(K11*0.5+L11*0.5)*100)</f>
        <v>77.900000000000006</v>
      </c>
      <c r="T11" s="29">
        <f>IF(M11="",0,MIN(100,M11/MAX($M$10:$M$511)*100))</f>
        <v>40.440881763527052</v>
      </c>
      <c r="U11" s="29">
        <f>MIN(100,IF(O11="Yes",50,0)+IF(N11="Yes",30,0)+IF(P11="Yes",20,0))</f>
        <v>50</v>
      </c>
      <c r="V11" s="30">
        <f>ROUND(U11*$C$3+S11*$C$4+T11*$C$5+R11*$C$6,1)</f>
        <v>55.4</v>
      </c>
      <c r="W11" s="9" t="s">
        <v>370</v>
      </c>
    </row>
    <row r="12" spans="1:23" ht="21.75" customHeight="1" x14ac:dyDescent="0.2">
      <c r="A12" s="23">
        <v>10</v>
      </c>
      <c r="B12" s="9" t="s">
        <v>366</v>
      </c>
      <c r="C12" s="9" t="s">
        <v>367</v>
      </c>
      <c r="D12" s="9" t="s">
        <v>371</v>
      </c>
      <c r="E12" s="9" t="s">
        <v>369</v>
      </c>
      <c r="F12" s="24">
        <v>824</v>
      </c>
      <c r="G12" s="24">
        <v>2132</v>
      </c>
      <c r="H12" s="24">
        <v>824</v>
      </c>
      <c r="I12" s="25">
        <v>195.4</v>
      </c>
      <c r="J12" s="25">
        <v>223.2</v>
      </c>
      <c r="K12" s="26">
        <v>0.85299999999999998</v>
      </c>
      <c r="L12" s="26">
        <v>0.55200000000000005</v>
      </c>
      <c r="M12" s="24">
        <v>3027</v>
      </c>
      <c r="N12" s="31"/>
      <c r="O12" s="32" t="s">
        <v>344</v>
      </c>
      <c r="P12" s="28"/>
      <c r="Q12" s="28" t="s">
        <v>345</v>
      </c>
      <c r="R12" s="29">
        <f>LN(F12+1)/LN(MAX($F$10:$F$511)+1)*100</f>
        <v>67.700430405251836</v>
      </c>
      <c r="S12" s="29">
        <f>IF(H12=0,0,(K12*0.5+L12*0.5)*100)</f>
        <v>70.25</v>
      </c>
      <c r="T12" s="29">
        <f>IF(M12="",0,MIN(100,M12/MAX($M$10:$M$511)*100))</f>
        <v>40.440881763527052</v>
      </c>
      <c r="U12" s="29">
        <f>MIN(100,IF(O12="Yes",50,0)+IF(N12="Yes",30,0)+IF(P12="Yes",20,0))</f>
        <v>50</v>
      </c>
      <c r="V12" s="30">
        <f>ROUND(U12*$C$3+S12*$C$4+T12*$C$5+R12*$C$6,1)</f>
        <v>55.3</v>
      </c>
      <c r="W12" s="9" t="s">
        <v>370</v>
      </c>
    </row>
    <row r="13" spans="1:23" ht="21.75" customHeight="1" x14ac:dyDescent="0.2">
      <c r="A13" s="23">
        <v>16</v>
      </c>
      <c r="B13" s="9" t="s">
        <v>384</v>
      </c>
      <c r="C13" s="9" t="s">
        <v>385</v>
      </c>
      <c r="D13" s="9" t="s">
        <v>386</v>
      </c>
      <c r="E13" s="9" t="s">
        <v>387</v>
      </c>
      <c r="F13" s="24">
        <v>1</v>
      </c>
      <c r="G13" s="24">
        <v>2</v>
      </c>
      <c r="H13" s="24">
        <v>1</v>
      </c>
      <c r="I13" s="25">
        <v>252.9</v>
      </c>
      <c r="J13" s="25">
        <v>252.9</v>
      </c>
      <c r="K13" s="26">
        <v>1</v>
      </c>
      <c r="L13" s="26">
        <v>1</v>
      </c>
      <c r="M13" s="24">
        <v>7</v>
      </c>
      <c r="N13" s="28" t="s">
        <v>345</v>
      </c>
      <c r="O13" s="32" t="s">
        <v>344</v>
      </c>
      <c r="P13" s="28" t="s">
        <v>344</v>
      </c>
      <c r="Q13" s="28" t="s">
        <v>345</v>
      </c>
      <c r="R13" s="29">
        <f>LN(F13+1)/LN(MAX($F$10:$F$511)+1)*100</f>
        <v>6.987890304757113</v>
      </c>
      <c r="S13" s="29">
        <f>IF(H13=0,0,(K13*0.5+L13*0.5)*100)</f>
        <v>100</v>
      </c>
      <c r="T13" s="29">
        <f>IF(M13="",0,MIN(100,M13/MAX($M$10:$M$511)*100))</f>
        <v>9.3520374081496327E-2</v>
      </c>
      <c r="U13" s="29">
        <f>MIN(100,IF(O13="Yes",50,0)+IF(N13="Yes",30,0)+IF(P13="Yes",20,0))</f>
        <v>70</v>
      </c>
      <c r="V13" s="30">
        <f>ROUND(U13*$C$3+S13*$C$4+T13*$C$5+R13*$C$6,1)</f>
        <v>50.6</v>
      </c>
      <c r="W13" s="9" t="s">
        <v>388</v>
      </c>
    </row>
    <row r="14" spans="1:23" ht="21.75" customHeight="1" x14ac:dyDescent="0.2">
      <c r="A14" s="23">
        <v>19</v>
      </c>
      <c r="B14" s="9" t="s">
        <v>392</v>
      </c>
      <c r="C14" s="9" t="s">
        <v>393</v>
      </c>
      <c r="D14" s="9" t="s">
        <v>394</v>
      </c>
      <c r="E14" s="9" t="s">
        <v>395</v>
      </c>
      <c r="F14" s="24">
        <v>63</v>
      </c>
      <c r="G14" s="24">
        <v>42</v>
      </c>
      <c r="H14" s="24">
        <v>63</v>
      </c>
      <c r="I14" s="25">
        <v>196.9</v>
      </c>
      <c r="J14" s="25">
        <v>196.5</v>
      </c>
      <c r="K14" s="26">
        <v>0.84099999999999997</v>
      </c>
      <c r="L14" s="26">
        <v>0.55600000000000005</v>
      </c>
      <c r="M14" s="24">
        <v>349</v>
      </c>
      <c r="N14" s="28" t="s">
        <v>345</v>
      </c>
      <c r="O14" s="32" t="s">
        <v>344</v>
      </c>
      <c r="P14" s="28" t="s">
        <v>344</v>
      </c>
      <c r="Q14" s="28" t="s">
        <v>345</v>
      </c>
      <c r="R14" s="29">
        <f>LN(F14+1)/LN(MAX($F$10:$F$511)+1)*100</f>
        <v>41.927341828542673</v>
      </c>
      <c r="S14" s="29">
        <f>IF(H14=0,0,(K14*0.5+L14*0.5)*100)</f>
        <v>69.849999999999994</v>
      </c>
      <c r="T14" s="29">
        <f>IF(M14="",0,MIN(100,M14/MAX($M$10:$M$511)*100))</f>
        <v>4.6626586506346026</v>
      </c>
      <c r="U14" s="29">
        <f>MIN(100,IF(O14="Yes",50,0)+IF(N14="Yes",30,0)+IF(P14="Yes",20,0))</f>
        <v>70</v>
      </c>
      <c r="V14" s="30">
        <f>ROUND(U14*$C$3+S14*$C$4+T14*$C$5+R14*$C$6,1)</f>
        <v>49.4</v>
      </c>
      <c r="W14" s="9" t="s">
        <v>396</v>
      </c>
    </row>
    <row r="15" spans="1:23" ht="32.25" customHeight="1" x14ac:dyDescent="0.2">
      <c r="A15" s="23">
        <v>23</v>
      </c>
      <c r="B15" s="9" t="s">
        <v>280</v>
      </c>
      <c r="C15" s="9" t="s">
        <v>407</v>
      </c>
      <c r="D15" s="9" t="s">
        <v>408</v>
      </c>
      <c r="E15" s="9" t="s">
        <v>343</v>
      </c>
      <c r="F15" s="24">
        <v>1</v>
      </c>
      <c r="G15" s="24">
        <v>29</v>
      </c>
      <c r="H15" s="24">
        <v>1</v>
      </c>
      <c r="I15" s="25">
        <v>115.1</v>
      </c>
      <c r="J15" s="25">
        <v>115.1</v>
      </c>
      <c r="K15" s="26">
        <v>1</v>
      </c>
      <c r="L15" s="26">
        <v>0</v>
      </c>
      <c r="M15" s="24">
        <v>57</v>
      </c>
      <c r="N15" s="28" t="s">
        <v>344</v>
      </c>
      <c r="O15" s="32" t="s">
        <v>344</v>
      </c>
      <c r="P15" s="28" t="s">
        <v>344</v>
      </c>
      <c r="Q15" s="28" t="s">
        <v>344</v>
      </c>
      <c r="R15" s="29">
        <f>LN(F15+1)/LN(MAX($F$10:$F$511)+1)*100</f>
        <v>6.987890304757113</v>
      </c>
      <c r="S15" s="29">
        <f>IF(H15=0,0,(K15*0.5+L15*0.5)*100)</f>
        <v>50</v>
      </c>
      <c r="T15" s="29">
        <f>IF(M15="",0,MIN(100,M15/MAX($M$10:$M$511)*100))</f>
        <v>0.76152304609218435</v>
      </c>
      <c r="U15" s="29">
        <f>MIN(100,IF(O15="Yes",50,0)+IF(N15="Yes",30,0)+IF(P15="Yes",20,0))</f>
        <v>100</v>
      </c>
      <c r="V15" s="30">
        <f>ROUND(U15*$C$3+S15*$C$4+T15*$C$5+R15*$C$6,1)</f>
        <v>48.7</v>
      </c>
      <c r="W15" s="9" t="s">
        <v>388</v>
      </c>
    </row>
    <row r="16" spans="1:23" ht="21.75" customHeight="1" x14ac:dyDescent="0.2">
      <c r="A16" s="23">
        <v>25</v>
      </c>
      <c r="B16" s="9" t="s">
        <v>280</v>
      </c>
      <c r="C16" s="9" t="s">
        <v>411</v>
      </c>
      <c r="D16" s="9" t="s">
        <v>359</v>
      </c>
      <c r="E16" s="9" t="s">
        <v>343</v>
      </c>
      <c r="F16" s="24">
        <v>1</v>
      </c>
      <c r="G16" s="24">
        <v>1</v>
      </c>
      <c r="H16" s="24">
        <v>1</v>
      </c>
      <c r="I16" s="25">
        <v>108</v>
      </c>
      <c r="J16" s="25">
        <v>108</v>
      </c>
      <c r="K16" s="26">
        <v>1</v>
      </c>
      <c r="L16" s="26">
        <v>0</v>
      </c>
      <c r="M16" s="24">
        <v>3</v>
      </c>
      <c r="N16" s="28" t="s">
        <v>344</v>
      </c>
      <c r="O16" s="32" t="s">
        <v>344</v>
      </c>
      <c r="P16" s="28" t="s">
        <v>344</v>
      </c>
      <c r="Q16" s="28" t="s">
        <v>344</v>
      </c>
      <c r="R16" s="29">
        <f>LN(F16+1)/LN(MAX($F$10:$F$511)+1)*100</f>
        <v>6.987890304757113</v>
      </c>
      <c r="S16" s="29">
        <f>IF(H16=0,0,(K16*0.5+L16*0.5)*100)</f>
        <v>50</v>
      </c>
      <c r="T16" s="29">
        <f>IF(M16="",0,MIN(100,M16/MAX($M$10:$M$511)*100))</f>
        <v>4.0080160320641281E-2</v>
      </c>
      <c r="U16" s="29">
        <f>MIN(100,IF(O16="Yes",50,0)+IF(N16="Yes",30,0)+IF(P16="Yes",20,0))</f>
        <v>100</v>
      </c>
      <c r="V16" s="30">
        <f>ROUND(U16*$C$3+S16*$C$4+T16*$C$5+R16*$C$6,1)</f>
        <v>48.6</v>
      </c>
      <c r="W16" s="9" t="s">
        <v>388</v>
      </c>
    </row>
    <row r="17" spans="1:23" ht="21.75" customHeight="1" x14ac:dyDescent="0.2">
      <c r="A17" s="23">
        <v>27</v>
      </c>
      <c r="B17" s="9" t="s">
        <v>384</v>
      </c>
      <c r="C17" s="9" t="s">
        <v>413</v>
      </c>
      <c r="D17" s="9" t="s">
        <v>414</v>
      </c>
      <c r="E17" s="9" t="s">
        <v>415</v>
      </c>
      <c r="F17" s="24">
        <v>5</v>
      </c>
      <c r="G17" s="24">
        <v>19</v>
      </c>
      <c r="H17" s="24">
        <v>5</v>
      </c>
      <c r="I17" s="25">
        <v>93.2</v>
      </c>
      <c r="J17" s="25">
        <v>147.4</v>
      </c>
      <c r="K17" s="26">
        <v>0.6</v>
      </c>
      <c r="L17" s="26">
        <v>0.2</v>
      </c>
      <c r="M17" s="24">
        <v>41</v>
      </c>
      <c r="N17" s="28" t="s">
        <v>344</v>
      </c>
      <c r="O17" s="32" t="s">
        <v>344</v>
      </c>
      <c r="P17" s="28" t="s">
        <v>344</v>
      </c>
      <c r="Q17" s="28" t="s">
        <v>345</v>
      </c>
      <c r="R17" s="29">
        <f>LN(F17+1)/LN(MAX($F$10:$F$511)+1)*100</f>
        <v>18.063434396950068</v>
      </c>
      <c r="S17" s="29">
        <f>IF(H17=0,0,(K17*0.5+L17*0.5)*100)</f>
        <v>40</v>
      </c>
      <c r="T17" s="29">
        <f>IF(M17="",0,MIN(100,M17/MAX($M$10:$M$511)*100))</f>
        <v>0.54776219104876422</v>
      </c>
      <c r="U17" s="29">
        <f>MIN(100,IF(O17="Yes",50,0)+IF(N17="Yes",30,0)+IF(P17="Yes",20,0))</f>
        <v>100</v>
      </c>
      <c r="V17" s="30">
        <f>ROUND(U17*$C$3+S17*$C$4+T17*$C$5+R17*$C$6,1)</f>
        <v>47.8</v>
      </c>
      <c r="W17" s="9" t="s">
        <v>388</v>
      </c>
    </row>
    <row r="18" spans="1:23" ht="21.75" customHeight="1" x14ac:dyDescent="0.2">
      <c r="A18" s="23">
        <v>30</v>
      </c>
      <c r="B18" s="9" t="s">
        <v>280</v>
      </c>
      <c r="C18" s="9" t="s">
        <v>420</v>
      </c>
      <c r="D18" s="9" t="s">
        <v>421</v>
      </c>
      <c r="E18" s="9" t="s">
        <v>422</v>
      </c>
      <c r="F18" s="24">
        <v>12</v>
      </c>
      <c r="G18" s="24">
        <v>45</v>
      </c>
      <c r="H18" s="24">
        <v>12</v>
      </c>
      <c r="I18" s="25">
        <v>552.1</v>
      </c>
      <c r="J18" s="25">
        <v>499.4</v>
      </c>
      <c r="K18" s="26">
        <v>1</v>
      </c>
      <c r="L18" s="26">
        <v>1</v>
      </c>
      <c r="M18" s="24">
        <v>69</v>
      </c>
      <c r="N18" s="28" t="s">
        <v>344</v>
      </c>
      <c r="O18" s="28" t="s">
        <v>345</v>
      </c>
      <c r="P18" s="28" t="s">
        <v>344</v>
      </c>
      <c r="Q18" s="28" t="s">
        <v>345</v>
      </c>
      <c r="R18" s="29">
        <f>LN(F18+1)/LN(MAX($F$10:$F$511)+1)*100</f>
        <v>25.85826682973628</v>
      </c>
      <c r="S18" s="29">
        <f>IF(H18=0,0,(K18*0.5+L18*0.5)*100)</f>
        <v>100</v>
      </c>
      <c r="T18" s="29">
        <f>IF(M18="",0,MIN(100,M18/MAX($M$10:$M$511)*100))</f>
        <v>0.92184368737474942</v>
      </c>
      <c r="U18" s="29">
        <f>MIN(100,IF(O18="Yes",50,0)+IF(N18="Yes",30,0)+IF(P18="Yes",20,0))</f>
        <v>50</v>
      </c>
      <c r="V18" s="30">
        <f>ROUND(U18*$C$3+S18*$C$4+T18*$C$5+R18*$C$6,1)</f>
        <v>46.6</v>
      </c>
      <c r="W18" s="9" t="s">
        <v>396</v>
      </c>
    </row>
    <row r="19" spans="1:23" ht="21.75" customHeight="1" x14ac:dyDescent="0.2">
      <c r="A19" s="23">
        <v>32</v>
      </c>
      <c r="B19" s="9" t="s">
        <v>392</v>
      </c>
      <c r="C19" s="9" t="s">
        <v>425</v>
      </c>
      <c r="D19" s="9"/>
      <c r="E19" s="9" t="s">
        <v>426</v>
      </c>
      <c r="F19" s="24">
        <v>214</v>
      </c>
      <c r="G19" s="24">
        <v>147</v>
      </c>
      <c r="H19" s="24">
        <v>214</v>
      </c>
      <c r="I19" s="25">
        <v>10.1</v>
      </c>
      <c r="J19" s="25">
        <v>35</v>
      </c>
      <c r="K19" s="26">
        <v>0.14000000000000001</v>
      </c>
      <c r="L19" s="26">
        <v>3.3000000000000002E-2</v>
      </c>
      <c r="M19" s="24">
        <v>140</v>
      </c>
      <c r="N19" s="28" t="s">
        <v>344</v>
      </c>
      <c r="O19" s="32" t="s">
        <v>344</v>
      </c>
      <c r="P19" s="28" t="s">
        <v>344</v>
      </c>
      <c r="Q19" s="28" t="s">
        <v>344</v>
      </c>
      <c r="R19" s="29">
        <f>LN(F19+1)/LN(MAX($F$10:$F$511)+1)*100</f>
        <v>54.143521693034572</v>
      </c>
      <c r="S19" s="29">
        <f>IF(H19=0,0,(K19*0.5+L19*0.5)*100)</f>
        <v>8.65</v>
      </c>
      <c r="T19" s="29">
        <f>IF(M19="",0,MIN(100,M19/MAX($M$10:$M$511)*100))</f>
        <v>1.8704074816299265</v>
      </c>
      <c r="U19" s="29">
        <f>MIN(100,IF(O19="Yes",50,0)+IF(N19="Yes",30,0)+IF(P19="Yes",20,0))</f>
        <v>100</v>
      </c>
      <c r="V19" s="30">
        <f>ROUND(U19*$C$3+S19*$C$4+T19*$C$5+R19*$C$6,1)</f>
        <v>45.8</v>
      </c>
      <c r="W19" s="9" t="s">
        <v>427</v>
      </c>
    </row>
    <row r="20" spans="1:23" ht="21.75" customHeight="1" x14ac:dyDescent="0.2">
      <c r="A20" s="23">
        <v>33</v>
      </c>
      <c r="B20" s="9" t="s">
        <v>384</v>
      </c>
      <c r="C20" s="9" t="s">
        <v>413</v>
      </c>
      <c r="D20" s="9" t="s">
        <v>428</v>
      </c>
      <c r="E20" s="9" t="s">
        <v>415</v>
      </c>
      <c r="F20" s="24">
        <v>32</v>
      </c>
      <c r="G20" s="24">
        <v>19</v>
      </c>
      <c r="H20" s="24">
        <v>32</v>
      </c>
      <c r="I20" s="25">
        <v>73.400000000000006</v>
      </c>
      <c r="J20" s="25">
        <v>89.7</v>
      </c>
      <c r="K20" s="26">
        <v>0.312</v>
      </c>
      <c r="L20" s="26">
        <v>6.2E-2</v>
      </c>
      <c r="M20" s="24">
        <v>41</v>
      </c>
      <c r="N20" s="28" t="s">
        <v>344</v>
      </c>
      <c r="O20" s="32" t="s">
        <v>344</v>
      </c>
      <c r="P20" s="28" t="s">
        <v>344</v>
      </c>
      <c r="Q20" s="28" t="s">
        <v>345</v>
      </c>
      <c r="R20" s="29">
        <f>LN(F20+1)/LN(MAX($F$10:$F$511)+1)*100</f>
        <v>35.249672760038727</v>
      </c>
      <c r="S20" s="29">
        <f>IF(H20=0,0,(K20*0.5+L20*0.5)*100)</f>
        <v>18.7</v>
      </c>
      <c r="T20" s="29">
        <f>IF(M20="",0,MIN(100,M20/MAX($M$10:$M$511)*100))</f>
        <v>0.54776219104876422</v>
      </c>
      <c r="U20" s="29">
        <f>MIN(100,IF(O20="Yes",50,0)+IF(N20="Yes",30,0)+IF(P20="Yes",20,0))</f>
        <v>100</v>
      </c>
      <c r="V20" s="30">
        <f>ROUND(U20*$C$3+S20*$C$4+T20*$C$5+R20*$C$6,1)</f>
        <v>45.1</v>
      </c>
      <c r="W20" s="9" t="s">
        <v>396</v>
      </c>
    </row>
    <row r="21" spans="1:23" ht="42.75" customHeight="1" x14ac:dyDescent="0.2">
      <c r="A21" s="23">
        <v>34</v>
      </c>
      <c r="B21" s="9" t="s">
        <v>384</v>
      </c>
      <c r="C21" s="9" t="s">
        <v>429</v>
      </c>
      <c r="D21" s="9" t="s">
        <v>430</v>
      </c>
      <c r="E21" s="9" t="s">
        <v>431</v>
      </c>
      <c r="F21" s="24">
        <v>3</v>
      </c>
      <c r="G21" s="24">
        <v>57</v>
      </c>
      <c r="H21" s="24">
        <v>3</v>
      </c>
      <c r="I21" s="25">
        <v>681.1</v>
      </c>
      <c r="J21" s="25">
        <v>681.1</v>
      </c>
      <c r="K21" s="26">
        <v>1</v>
      </c>
      <c r="L21" s="26">
        <v>1</v>
      </c>
      <c r="M21" s="24">
        <v>142</v>
      </c>
      <c r="N21" s="28" t="s">
        <v>344</v>
      </c>
      <c r="O21" s="28" t="s">
        <v>345</v>
      </c>
      <c r="P21" s="28" t="s">
        <v>344</v>
      </c>
      <c r="Q21" s="28" t="s">
        <v>345</v>
      </c>
      <c r="R21" s="29">
        <f>LN(F21+1)/LN(MAX($F$10:$F$511)+1)*100</f>
        <v>13.975780609514226</v>
      </c>
      <c r="S21" s="29">
        <f>IF(H21=0,0,(K21*0.5+L21*0.5)*100)</f>
        <v>100</v>
      </c>
      <c r="T21" s="29">
        <f>IF(M21="",0,MIN(100,M21/MAX($M$10:$M$511)*100))</f>
        <v>1.8971275885103542</v>
      </c>
      <c r="U21" s="29">
        <f>MIN(100,IF(O21="Yes",50,0)+IF(N21="Yes",30,0)+IF(P21="Yes",20,0))</f>
        <v>50</v>
      </c>
      <c r="V21" s="30">
        <f>ROUND(U21*$C$3+S21*$C$4+T21*$C$5+R21*$C$6,1)</f>
        <v>45.1</v>
      </c>
      <c r="W21" s="9" t="s">
        <v>388</v>
      </c>
    </row>
    <row r="22" spans="1:23" ht="32.25" customHeight="1" x14ac:dyDescent="0.2">
      <c r="A22" s="23">
        <v>37</v>
      </c>
      <c r="B22" s="9" t="s">
        <v>402</v>
      </c>
      <c r="C22" s="9" t="s">
        <v>435</v>
      </c>
      <c r="D22" s="9" t="s">
        <v>436</v>
      </c>
      <c r="E22" s="9" t="s">
        <v>437</v>
      </c>
      <c r="F22" s="24">
        <v>34</v>
      </c>
      <c r="G22" s="27"/>
      <c r="H22" s="24">
        <v>34</v>
      </c>
      <c r="I22" s="25">
        <v>226.6</v>
      </c>
      <c r="J22" s="25">
        <v>262.2</v>
      </c>
      <c r="K22" s="26">
        <v>1</v>
      </c>
      <c r="L22" s="26">
        <v>0.70599999999999996</v>
      </c>
      <c r="M22" s="24">
        <v>198</v>
      </c>
      <c r="N22" s="28" t="s">
        <v>344</v>
      </c>
      <c r="O22" s="28" t="s">
        <v>345</v>
      </c>
      <c r="P22" s="28" t="s">
        <v>344</v>
      </c>
      <c r="Q22" s="28" t="s">
        <v>345</v>
      </c>
      <c r="R22" s="29">
        <f>LN(F22+1)/LN(MAX($F$10:$F$511)+1)*100</f>
        <v>35.842867064465047</v>
      </c>
      <c r="S22" s="29">
        <f>IF(H22=0,0,(K22*0.5+L22*0.5)*100)</f>
        <v>85.3</v>
      </c>
      <c r="T22" s="29">
        <f>IF(M22="",0,MIN(100,M22/MAX($M$10:$M$511)*100))</f>
        <v>2.6452905811623246</v>
      </c>
      <c r="U22" s="29">
        <f>MIN(100,IF(O22="Yes",50,0)+IF(N22="Yes",30,0)+IF(P22="Yes",20,0))</f>
        <v>50</v>
      </c>
      <c r="V22" s="30">
        <f>ROUND(U22*$C$3+S22*$C$4+T22*$C$5+R22*$C$6,1)</f>
        <v>44.9</v>
      </c>
      <c r="W22" s="9" t="s">
        <v>438</v>
      </c>
    </row>
    <row r="23" spans="1:23" ht="21.75" customHeight="1" x14ac:dyDescent="0.2">
      <c r="A23" s="23">
        <v>42</v>
      </c>
      <c r="B23" s="9" t="s">
        <v>280</v>
      </c>
      <c r="C23" s="9" t="s">
        <v>407</v>
      </c>
      <c r="D23" s="9" t="s">
        <v>359</v>
      </c>
      <c r="E23" s="9" t="s">
        <v>343</v>
      </c>
      <c r="F23" s="24">
        <v>4</v>
      </c>
      <c r="G23" s="24">
        <v>29</v>
      </c>
      <c r="H23" s="24">
        <v>4</v>
      </c>
      <c r="I23" s="25">
        <v>92.1</v>
      </c>
      <c r="J23" s="25">
        <v>90.5</v>
      </c>
      <c r="K23" s="26">
        <v>0.5</v>
      </c>
      <c r="L23" s="26">
        <v>0</v>
      </c>
      <c r="M23" s="24">
        <v>57</v>
      </c>
      <c r="N23" s="28" t="s">
        <v>344</v>
      </c>
      <c r="O23" s="32" t="s">
        <v>344</v>
      </c>
      <c r="P23" s="28" t="s">
        <v>344</v>
      </c>
      <c r="Q23" s="28" t="s">
        <v>344</v>
      </c>
      <c r="R23" s="29">
        <f>LN(F23+1)/LN(MAX($F$10:$F$511)+1)*100</f>
        <v>16.225378822606551</v>
      </c>
      <c r="S23" s="29">
        <f>IF(H23=0,0,(K23*0.5+L23*0.5)*100)</f>
        <v>25</v>
      </c>
      <c r="T23" s="29">
        <f>IF(M23="",0,MIN(100,M23/MAX($M$10:$M$511)*100))</f>
        <v>0.76152304609218435</v>
      </c>
      <c r="U23" s="29">
        <f>MIN(100,IF(O23="Yes",50,0)+IF(N23="Yes",30,0)+IF(P23="Yes",20,0))</f>
        <v>100</v>
      </c>
      <c r="V23" s="30">
        <f>ROUND(U23*$C$3+S23*$C$4+T23*$C$5+R23*$C$6,1)</f>
        <v>43.9</v>
      </c>
      <c r="W23" s="9" t="s">
        <v>388</v>
      </c>
    </row>
    <row r="24" spans="1:23" ht="21.75" customHeight="1" x14ac:dyDescent="0.2">
      <c r="A24" s="23">
        <v>43</v>
      </c>
      <c r="B24" s="9" t="s">
        <v>416</v>
      </c>
      <c r="C24" s="9" t="s">
        <v>448</v>
      </c>
      <c r="D24" s="9" t="s">
        <v>449</v>
      </c>
      <c r="E24" s="9" t="s">
        <v>450</v>
      </c>
      <c r="F24" s="24">
        <v>7</v>
      </c>
      <c r="G24" s="24">
        <v>16</v>
      </c>
      <c r="H24" s="24">
        <v>7</v>
      </c>
      <c r="I24" s="25">
        <v>216.1</v>
      </c>
      <c r="J24" s="25">
        <v>262.10000000000002</v>
      </c>
      <c r="K24" s="26">
        <v>1</v>
      </c>
      <c r="L24" s="26">
        <v>0.85699999999999998</v>
      </c>
      <c r="M24" s="24">
        <v>1</v>
      </c>
      <c r="N24" s="28" t="s">
        <v>344</v>
      </c>
      <c r="O24" s="28" t="s">
        <v>345</v>
      </c>
      <c r="P24" s="28" t="s">
        <v>344</v>
      </c>
      <c r="Q24" s="28" t="s">
        <v>345</v>
      </c>
      <c r="R24" s="29">
        <f>LN(F24+1)/LN(MAX($F$10:$F$511)+1)*100</f>
        <v>20.963670914271336</v>
      </c>
      <c r="S24" s="29">
        <f>IF(H24=0,0,(K24*0.5+L24*0.5)*100)</f>
        <v>92.85</v>
      </c>
      <c r="T24" s="29">
        <f>IF(M24="",0,MIN(100,M24/MAX($M$10:$M$511)*100))</f>
        <v>1.3360053440213761E-2</v>
      </c>
      <c r="U24" s="29">
        <f>MIN(100,IF(O24="Yes",50,0)+IF(N24="Yes",30,0)+IF(P24="Yes",20,0))</f>
        <v>50</v>
      </c>
      <c r="V24" s="30">
        <f>ROUND(U24*$C$3+S24*$C$4+T24*$C$5+R24*$C$6,1)</f>
        <v>43.9</v>
      </c>
      <c r="W24" s="9" t="s">
        <v>451</v>
      </c>
    </row>
    <row r="25" spans="1:23" ht="21.75" customHeight="1" x14ac:dyDescent="0.2">
      <c r="A25" s="23">
        <v>44</v>
      </c>
      <c r="B25" s="9" t="s">
        <v>384</v>
      </c>
      <c r="C25" s="9" t="s">
        <v>452</v>
      </c>
      <c r="D25" s="9" t="s">
        <v>453</v>
      </c>
      <c r="E25" s="9" t="s">
        <v>415</v>
      </c>
      <c r="F25" s="24">
        <v>1</v>
      </c>
      <c r="G25" s="24">
        <v>10</v>
      </c>
      <c r="H25" s="24">
        <v>1</v>
      </c>
      <c r="I25" s="25">
        <v>331.1</v>
      </c>
      <c r="J25" s="25">
        <v>331.1</v>
      </c>
      <c r="K25" s="26">
        <v>1</v>
      </c>
      <c r="L25" s="26">
        <v>1</v>
      </c>
      <c r="M25" s="24">
        <v>24</v>
      </c>
      <c r="N25" s="28" t="s">
        <v>344</v>
      </c>
      <c r="O25" s="28" t="s">
        <v>345</v>
      </c>
      <c r="P25" s="28" t="s">
        <v>344</v>
      </c>
      <c r="Q25" s="28" t="s">
        <v>345</v>
      </c>
      <c r="R25" s="29">
        <f>LN(F25+1)/LN(MAX($F$10:$F$511)+1)*100</f>
        <v>6.987890304757113</v>
      </c>
      <c r="S25" s="29">
        <f>IF(H25=0,0,(K25*0.5+L25*0.5)*100)</f>
        <v>100</v>
      </c>
      <c r="T25" s="29">
        <f>IF(M25="",0,MIN(100,M25/MAX($M$10:$M$511)*100))</f>
        <v>0.32064128256513025</v>
      </c>
      <c r="U25" s="29">
        <f>MIN(100,IF(O25="Yes",50,0)+IF(N25="Yes",30,0)+IF(P25="Yes",20,0))</f>
        <v>50</v>
      </c>
      <c r="V25" s="30">
        <f>ROUND(U25*$C$3+S25*$C$4+T25*$C$5+R25*$C$6,1)</f>
        <v>43.6</v>
      </c>
      <c r="W25" s="9" t="s">
        <v>388</v>
      </c>
    </row>
    <row r="26" spans="1:23" ht="21.75" customHeight="1" x14ac:dyDescent="0.2">
      <c r="A26" s="23">
        <v>45</v>
      </c>
      <c r="B26" s="9" t="s">
        <v>280</v>
      </c>
      <c r="C26" s="9" t="s">
        <v>454</v>
      </c>
      <c r="D26" s="9" t="s">
        <v>365</v>
      </c>
      <c r="E26" s="9" t="s">
        <v>343</v>
      </c>
      <c r="F26" s="24">
        <v>1</v>
      </c>
      <c r="G26" s="24">
        <v>26</v>
      </c>
      <c r="H26" s="24">
        <v>1</v>
      </c>
      <c r="I26" s="25">
        <v>297.5</v>
      </c>
      <c r="J26" s="25">
        <v>297.5</v>
      </c>
      <c r="K26" s="26">
        <v>1</v>
      </c>
      <c r="L26" s="26">
        <v>1</v>
      </c>
      <c r="M26" s="24">
        <v>2</v>
      </c>
      <c r="N26" s="28" t="s">
        <v>344</v>
      </c>
      <c r="O26" s="28" t="s">
        <v>345</v>
      </c>
      <c r="P26" s="28" t="s">
        <v>344</v>
      </c>
      <c r="Q26" s="28" t="s">
        <v>345</v>
      </c>
      <c r="R26" s="29">
        <f>LN(F26+1)/LN(MAX($F$10:$F$511)+1)*100</f>
        <v>6.987890304757113</v>
      </c>
      <c r="S26" s="29">
        <f>IF(H26=0,0,(K26*0.5+L26*0.5)*100)</f>
        <v>100</v>
      </c>
      <c r="T26" s="29">
        <f>IF(M26="",0,MIN(100,M26/MAX($M$10:$M$511)*100))</f>
        <v>2.6720106880427523E-2</v>
      </c>
      <c r="U26" s="29">
        <f>MIN(100,IF(O26="Yes",50,0)+IF(N26="Yes",30,0)+IF(P26="Yes",20,0))</f>
        <v>50</v>
      </c>
      <c r="V26" s="30">
        <f>ROUND(U26*$C$3+S26*$C$4+T26*$C$5+R26*$C$6,1)</f>
        <v>43.6</v>
      </c>
      <c r="W26" s="9" t="s">
        <v>388</v>
      </c>
    </row>
    <row r="27" spans="1:23" ht="21.75" customHeight="1" x14ac:dyDescent="0.2">
      <c r="A27" s="23">
        <v>46</v>
      </c>
      <c r="B27" s="9" t="s">
        <v>280</v>
      </c>
      <c r="C27" s="9" t="s">
        <v>454</v>
      </c>
      <c r="D27" s="9" t="s">
        <v>455</v>
      </c>
      <c r="E27" s="9" t="s">
        <v>456</v>
      </c>
      <c r="F27" s="24">
        <v>1</v>
      </c>
      <c r="G27" s="24">
        <v>26</v>
      </c>
      <c r="H27" s="24">
        <v>1</v>
      </c>
      <c r="I27" s="25">
        <v>376</v>
      </c>
      <c r="J27" s="25">
        <v>376</v>
      </c>
      <c r="K27" s="26">
        <v>1</v>
      </c>
      <c r="L27" s="26">
        <v>1</v>
      </c>
      <c r="M27" s="24">
        <v>2</v>
      </c>
      <c r="N27" s="28" t="s">
        <v>344</v>
      </c>
      <c r="O27" s="28" t="s">
        <v>345</v>
      </c>
      <c r="P27" s="28" t="s">
        <v>344</v>
      </c>
      <c r="Q27" s="28" t="s">
        <v>345</v>
      </c>
      <c r="R27" s="29">
        <f>LN(F27+1)/LN(MAX($F$10:$F$511)+1)*100</f>
        <v>6.987890304757113</v>
      </c>
      <c r="S27" s="29">
        <f>IF(H27=0,0,(K27*0.5+L27*0.5)*100)</f>
        <v>100</v>
      </c>
      <c r="T27" s="29">
        <f>IF(M27="",0,MIN(100,M27/MAX($M$10:$M$511)*100))</f>
        <v>2.6720106880427523E-2</v>
      </c>
      <c r="U27" s="29">
        <f>MIN(100,IF(O27="Yes",50,0)+IF(N27="Yes",30,0)+IF(P27="Yes",20,0))</f>
        <v>50</v>
      </c>
      <c r="V27" s="30">
        <f>ROUND(U27*$C$3+S27*$C$4+T27*$C$5+R27*$C$6,1)</f>
        <v>43.6</v>
      </c>
      <c r="W27" s="9" t="s">
        <v>388</v>
      </c>
    </row>
    <row r="28" spans="1:23" ht="32.25" customHeight="1" x14ac:dyDescent="0.2">
      <c r="A28" s="23">
        <v>1</v>
      </c>
      <c r="B28" s="9" t="s">
        <v>280</v>
      </c>
      <c r="C28" s="9" t="s">
        <v>341</v>
      </c>
      <c r="D28" s="9" t="s">
        <v>342</v>
      </c>
      <c r="E28" s="9" t="s">
        <v>343</v>
      </c>
      <c r="F28" s="24">
        <v>1</v>
      </c>
      <c r="G28" s="24">
        <v>50</v>
      </c>
      <c r="H28" s="24">
        <v>1</v>
      </c>
      <c r="I28" s="25">
        <v>188.9</v>
      </c>
      <c r="J28" s="25">
        <v>188.9</v>
      </c>
      <c r="K28" s="26">
        <v>1</v>
      </c>
      <c r="L28" s="26">
        <v>1</v>
      </c>
      <c r="M28" s="27"/>
      <c r="N28" s="28" t="s">
        <v>344</v>
      </c>
      <c r="O28" s="28" t="s">
        <v>345</v>
      </c>
      <c r="P28" s="28" t="s">
        <v>344</v>
      </c>
      <c r="Q28" s="28" t="s">
        <v>345</v>
      </c>
      <c r="R28" s="29">
        <f>LN(F28+1)/LN(MAX($F$10:$F$511)+1)*100</f>
        <v>6.987890304757113</v>
      </c>
      <c r="S28" s="29">
        <f>IF(H28=0,0,(K28*0.5+L28*0.5)*100)</f>
        <v>100</v>
      </c>
      <c r="T28" s="29">
        <f>IF(M28="",0,MIN(100,M28/MAX($M$10:$M$511)*100))</f>
        <v>0</v>
      </c>
      <c r="U28" s="29">
        <f>MIN(100,IF(O28="Yes",50,0)+IF(N28="Yes",30,0)+IF(P28="Yes",20,0))</f>
        <v>50</v>
      </c>
      <c r="V28" s="30">
        <f>ROUND(U28*$C$3+S28*$C$4+T28*$C$5+R28*$C$6,1)</f>
        <v>43.5</v>
      </c>
      <c r="W28" s="9" t="s">
        <v>346</v>
      </c>
    </row>
    <row r="29" spans="1:23" ht="32.25" customHeight="1" x14ac:dyDescent="0.2">
      <c r="A29" s="23">
        <v>52</v>
      </c>
      <c r="B29" s="9" t="s">
        <v>366</v>
      </c>
      <c r="C29" s="9" t="s">
        <v>367</v>
      </c>
      <c r="D29" s="9" t="s">
        <v>466</v>
      </c>
      <c r="E29" s="9" t="s">
        <v>369</v>
      </c>
      <c r="F29" s="24">
        <v>790</v>
      </c>
      <c r="G29" s="24">
        <v>2132</v>
      </c>
      <c r="H29" s="24">
        <v>790</v>
      </c>
      <c r="I29" s="25">
        <v>71.5</v>
      </c>
      <c r="J29" s="25">
        <v>94.1</v>
      </c>
      <c r="K29" s="26">
        <v>0.34899999999999998</v>
      </c>
      <c r="L29" s="26">
        <v>0.108</v>
      </c>
      <c r="M29" s="24">
        <v>3027</v>
      </c>
      <c r="N29" s="31"/>
      <c r="O29" s="32" t="s">
        <v>344</v>
      </c>
      <c r="P29" s="28"/>
      <c r="Q29" s="28" t="s">
        <v>345</v>
      </c>
      <c r="R29" s="29">
        <f>LN(F29+1)/LN(MAX($F$10:$F$511)+1)*100</f>
        <v>67.276150690028018</v>
      </c>
      <c r="S29" s="29">
        <f>IF(H29=0,0,(K29*0.5+L29*0.5)*100)</f>
        <v>22.849999999999998</v>
      </c>
      <c r="T29" s="29">
        <f>IF(M29="",0,MIN(100,M29/MAX($M$10:$M$511)*100))</f>
        <v>40.440881763527052</v>
      </c>
      <c r="U29" s="29">
        <f>MIN(100,IF(O29="Yes",50,0)+IF(N29="Yes",30,0)+IF(P29="Yes",20,0))</f>
        <v>50</v>
      </c>
      <c r="V29" s="30">
        <f>ROUND(U29*$C$3+S29*$C$4+T29*$C$5+R29*$C$6,1)</f>
        <v>43.4</v>
      </c>
      <c r="W29" s="9" t="s">
        <v>370</v>
      </c>
    </row>
    <row r="30" spans="1:23" ht="21.75" customHeight="1" x14ac:dyDescent="0.2">
      <c r="A30" s="23">
        <v>53</v>
      </c>
      <c r="B30" s="9" t="s">
        <v>392</v>
      </c>
      <c r="C30" s="9" t="s">
        <v>425</v>
      </c>
      <c r="D30" s="9" t="s">
        <v>467</v>
      </c>
      <c r="E30" s="9" t="s">
        <v>426</v>
      </c>
      <c r="F30" s="24">
        <v>73</v>
      </c>
      <c r="G30" s="24">
        <v>147</v>
      </c>
      <c r="H30" s="24">
        <v>73</v>
      </c>
      <c r="I30" s="25">
        <v>14.8</v>
      </c>
      <c r="J30" s="25">
        <v>27.7</v>
      </c>
      <c r="K30" s="26">
        <v>1.4E-2</v>
      </c>
      <c r="L30" s="26">
        <v>0</v>
      </c>
      <c r="M30" s="24">
        <v>140</v>
      </c>
      <c r="N30" s="28" t="s">
        <v>344</v>
      </c>
      <c r="O30" s="32" t="s">
        <v>344</v>
      </c>
      <c r="P30" s="28" t="s">
        <v>344</v>
      </c>
      <c r="Q30" s="28" t="s">
        <v>344</v>
      </c>
      <c r="R30" s="29">
        <f>LN(F30+1)/LN(MAX($F$10:$F$511)+1)*100</f>
        <v>43.390978971519964</v>
      </c>
      <c r="S30" s="29">
        <f>IF(H30=0,0,(K30*0.5+L30*0.5)*100)</f>
        <v>0.70000000000000007</v>
      </c>
      <c r="T30" s="29">
        <f>IF(M30="",0,MIN(100,M30/MAX($M$10:$M$511)*100))</f>
        <v>1.8704074816299265</v>
      </c>
      <c r="U30" s="29">
        <f>MIN(100,IF(O30="Yes",50,0)+IF(N30="Yes",30,0)+IF(P30="Yes",20,0))</f>
        <v>100</v>
      </c>
      <c r="V30" s="30">
        <f>ROUND(U30*$C$3+S30*$C$4+T30*$C$5+R30*$C$6,1)</f>
        <v>42.2</v>
      </c>
      <c r="W30" s="9" t="s">
        <v>396</v>
      </c>
    </row>
    <row r="31" spans="1:23" ht="32.25" customHeight="1" x14ac:dyDescent="0.2">
      <c r="A31" s="23">
        <v>54</v>
      </c>
      <c r="B31" s="9" t="s">
        <v>372</v>
      </c>
      <c r="C31" s="9" t="s">
        <v>468</v>
      </c>
      <c r="D31" s="9" t="s">
        <v>469</v>
      </c>
      <c r="E31" s="9" t="s">
        <v>470</v>
      </c>
      <c r="F31" s="24">
        <v>11050</v>
      </c>
      <c r="G31" s="24">
        <v>16184</v>
      </c>
      <c r="H31" s="24">
        <v>11050</v>
      </c>
      <c r="I31" s="25">
        <v>33.1</v>
      </c>
      <c r="J31" s="25">
        <v>43.9</v>
      </c>
      <c r="K31" s="26">
        <v>8.5000000000000006E-2</v>
      </c>
      <c r="L31" s="26">
        <v>1.2999999999999999E-2</v>
      </c>
      <c r="M31" s="24">
        <v>2788</v>
      </c>
      <c r="N31" s="28" t="s">
        <v>344</v>
      </c>
      <c r="O31" s="28" t="s">
        <v>345</v>
      </c>
      <c r="P31" s="28" t="s">
        <v>344</v>
      </c>
      <c r="Q31" s="28" t="s">
        <v>345</v>
      </c>
      <c r="R31" s="29">
        <f>LN(F31+1)/LN(MAX($F$10:$F$511)+1)*100</f>
        <v>93.860569041265464</v>
      </c>
      <c r="S31" s="29">
        <f>IF(H31=0,0,(K31*0.5+L31*0.5)*100)</f>
        <v>4.9000000000000004</v>
      </c>
      <c r="T31" s="29">
        <f>IF(M31="",0,MIN(100,M31/MAX($M$10:$M$511)*100))</f>
        <v>37.24782899131597</v>
      </c>
      <c r="U31" s="29">
        <f>MIN(100,IF(O31="Yes",50,0)+IF(N31="Yes",30,0)+IF(P31="Yes",20,0))</f>
        <v>50</v>
      </c>
      <c r="V31" s="30">
        <f>ROUND(U31*$C$3+S31*$C$4+T31*$C$5+R31*$C$6,1)</f>
        <v>42.1</v>
      </c>
      <c r="W31" s="9"/>
    </row>
    <row r="32" spans="1:23" ht="15" customHeight="1" x14ac:dyDescent="0.2">
      <c r="A32" s="23">
        <v>56</v>
      </c>
      <c r="B32" s="9" t="s">
        <v>372</v>
      </c>
      <c r="C32" s="9" t="s">
        <v>468</v>
      </c>
      <c r="D32" s="9" t="s">
        <v>270</v>
      </c>
      <c r="E32" s="9" t="s">
        <v>470</v>
      </c>
      <c r="F32" s="24">
        <v>13101</v>
      </c>
      <c r="G32" s="24">
        <v>16184</v>
      </c>
      <c r="H32" s="24">
        <v>13101</v>
      </c>
      <c r="I32" s="25">
        <v>6.8</v>
      </c>
      <c r="J32" s="25">
        <v>8.5</v>
      </c>
      <c r="K32" s="26">
        <v>5.0000000000000001E-3</v>
      </c>
      <c r="L32" s="26">
        <v>2E-3</v>
      </c>
      <c r="M32" s="24">
        <v>2788</v>
      </c>
      <c r="N32" s="28" t="s">
        <v>344</v>
      </c>
      <c r="O32" s="28" t="s">
        <v>345</v>
      </c>
      <c r="P32" s="28" t="s">
        <v>344</v>
      </c>
      <c r="Q32" s="28" t="s">
        <v>345</v>
      </c>
      <c r="R32" s="29">
        <f>LN(F32+1)/LN(MAX($F$10:$F$511)+1)*100</f>
        <v>95.576865683173907</v>
      </c>
      <c r="S32" s="29">
        <f>IF(H32=0,0,(K32*0.5+L32*0.5)*100)</f>
        <v>0.35000000000000003</v>
      </c>
      <c r="T32" s="29">
        <f>IF(M32="",0,MIN(100,M32/MAX($M$10:$M$511)*100))</f>
        <v>37.24782899131597</v>
      </c>
      <c r="U32" s="29">
        <f>MIN(100,IF(O32="Yes",50,0)+IF(N32="Yes",30,0)+IF(P32="Yes",20,0))</f>
        <v>50</v>
      </c>
      <c r="V32" s="30">
        <f>ROUND(U32*$C$3+S32*$C$4+T32*$C$5+R32*$C$6,1)</f>
        <v>41.2</v>
      </c>
      <c r="W32" s="9"/>
    </row>
    <row r="33" spans="1:23" ht="32.25" customHeight="1" x14ac:dyDescent="0.2">
      <c r="A33" s="23">
        <v>57</v>
      </c>
      <c r="B33" s="9" t="s">
        <v>402</v>
      </c>
      <c r="C33" s="9" t="s">
        <v>472</v>
      </c>
      <c r="D33" s="9" t="s">
        <v>436</v>
      </c>
      <c r="E33" s="9" t="s">
        <v>437</v>
      </c>
      <c r="F33" s="24">
        <v>63</v>
      </c>
      <c r="G33" s="24">
        <v>2221</v>
      </c>
      <c r="H33" s="24">
        <v>63</v>
      </c>
      <c r="I33" s="25">
        <v>152</v>
      </c>
      <c r="J33" s="25">
        <v>169.4</v>
      </c>
      <c r="K33" s="26">
        <v>0.84099999999999997</v>
      </c>
      <c r="L33" s="26">
        <v>0.30199999999999999</v>
      </c>
      <c r="M33" s="24">
        <v>892</v>
      </c>
      <c r="N33" s="28" t="s">
        <v>344</v>
      </c>
      <c r="O33" s="28" t="s">
        <v>345</v>
      </c>
      <c r="P33" s="28" t="s">
        <v>344</v>
      </c>
      <c r="Q33" s="28" t="s">
        <v>344</v>
      </c>
      <c r="R33" s="29">
        <f>LN(F33+1)/LN(MAX($F$10:$F$511)+1)*100</f>
        <v>41.927341828542673</v>
      </c>
      <c r="S33" s="29">
        <f>IF(H33=0,0,(K33*0.5+L33*0.5)*100)</f>
        <v>57.15</v>
      </c>
      <c r="T33" s="29">
        <f>IF(M33="",0,MIN(100,M33/MAX($M$10:$M$511)*100))</f>
        <v>11.917167668670675</v>
      </c>
      <c r="U33" s="29">
        <f>MIN(100,IF(O33="Yes",50,0)+IF(N33="Yes",30,0)+IF(P33="Yes",20,0))</f>
        <v>50</v>
      </c>
      <c r="V33" s="30">
        <f>ROUND(U33*$C$3+S33*$C$4+T33*$C$5+R33*$C$6,1)</f>
        <v>41.1</v>
      </c>
      <c r="W33" s="9" t="s">
        <v>396</v>
      </c>
    </row>
    <row r="34" spans="1:23" ht="15" customHeight="1" x14ac:dyDescent="0.2">
      <c r="A34" s="23">
        <v>58</v>
      </c>
      <c r="B34" s="9" t="s">
        <v>402</v>
      </c>
      <c r="C34" s="9" t="s">
        <v>473</v>
      </c>
      <c r="D34" s="9" t="s">
        <v>436</v>
      </c>
      <c r="E34" s="9" t="s">
        <v>437</v>
      </c>
      <c r="F34" s="24">
        <v>3</v>
      </c>
      <c r="G34" s="27"/>
      <c r="H34" s="24">
        <v>3</v>
      </c>
      <c r="I34" s="25">
        <v>231.1</v>
      </c>
      <c r="J34" s="25">
        <v>239.7</v>
      </c>
      <c r="K34" s="26">
        <v>1</v>
      </c>
      <c r="L34" s="26">
        <v>0.66700000000000004</v>
      </c>
      <c r="M34" s="24">
        <v>12</v>
      </c>
      <c r="N34" s="28" t="s">
        <v>344</v>
      </c>
      <c r="O34" s="28" t="s">
        <v>345</v>
      </c>
      <c r="P34" s="28" t="s">
        <v>344</v>
      </c>
      <c r="Q34" s="28" t="s">
        <v>345</v>
      </c>
      <c r="R34" s="29">
        <f>LN(F34+1)/LN(MAX($F$10:$F$511)+1)*100</f>
        <v>13.975780609514226</v>
      </c>
      <c r="S34" s="29">
        <f>IF(H34=0,0,(K34*0.5+L34*0.5)*100)</f>
        <v>83.350000000000009</v>
      </c>
      <c r="T34" s="29">
        <f>IF(M34="",0,MIN(100,M34/MAX($M$10:$M$511)*100))</f>
        <v>0.16032064128256512</v>
      </c>
      <c r="U34" s="29">
        <f>MIN(100,IF(O34="Yes",50,0)+IF(N34="Yes",30,0)+IF(P34="Yes",20,0))</f>
        <v>50</v>
      </c>
      <c r="V34" s="30">
        <f>ROUND(U34*$C$3+S34*$C$4+T34*$C$5+R34*$C$6,1)</f>
        <v>40.5</v>
      </c>
      <c r="W34" s="9" t="s">
        <v>474</v>
      </c>
    </row>
    <row r="35" spans="1:23" ht="32.25" customHeight="1" x14ac:dyDescent="0.2">
      <c r="A35" s="23">
        <v>59</v>
      </c>
      <c r="B35" s="9" t="s">
        <v>402</v>
      </c>
      <c r="C35" s="9" t="s">
        <v>435</v>
      </c>
      <c r="D35" s="9" t="s">
        <v>404</v>
      </c>
      <c r="E35" s="9" t="s">
        <v>437</v>
      </c>
      <c r="F35" s="24">
        <v>218</v>
      </c>
      <c r="G35" s="27"/>
      <c r="H35" s="24">
        <v>218</v>
      </c>
      <c r="I35" s="25">
        <v>147</v>
      </c>
      <c r="J35" s="25">
        <v>170</v>
      </c>
      <c r="K35" s="26">
        <v>0.73399999999999999</v>
      </c>
      <c r="L35" s="26">
        <v>0.39400000000000002</v>
      </c>
      <c r="M35" s="24">
        <v>198</v>
      </c>
      <c r="N35" s="28" t="s">
        <v>344</v>
      </c>
      <c r="O35" s="28" t="s">
        <v>345</v>
      </c>
      <c r="P35" s="28" t="s">
        <v>344</v>
      </c>
      <c r="Q35" s="28" t="s">
        <v>345</v>
      </c>
      <c r="R35" s="29">
        <f>LN(F35+1)/LN(MAX($F$10:$F$511)+1)*100</f>
        <v>54.329359115338107</v>
      </c>
      <c r="S35" s="29">
        <f>IF(H35=0,0,(K35*0.5+L35*0.5)*100)</f>
        <v>56.400000000000006</v>
      </c>
      <c r="T35" s="29">
        <f>IF(M35="",0,MIN(100,M35/MAX($M$10:$M$511)*100))</f>
        <v>2.6452905811623246</v>
      </c>
      <c r="U35" s="29">
        <f>MIN(100,IF(O35="Yes",50,0)+IF(N35="Yes",30,0)+IF(P35="Yes",20,0))</f>
        <v>50</v>
      </c>
      <c r="V35" s="30">
        <f>ROUND(U35*$C$3+S35*$C$4+T35*$C$5+R35*$C$6,1)</f>
        <v>40.4</v>
      </c>
      <c r="W35" s="9" t="s">
        <v>475</v>
      </c>
    </row>
    <row r="36" spans="1:23" ht="32.25" customHeight="1" x14ac:dyDescent="0.2">
      <c r="A36" s="23">
        <v>61</v>
      </c>
      <c r="B36" s="9" t="s">
        <v>280</v>
      </c>
      <c r="C36" s="9" t="s">
        <v>407</v>
      </c>
      <c r="D36" s="9" t="s">
        <v>389</v>
      </c>
      <c r="E36" s="9" t="s">
        <v>343</v>
      </c>
      <c r="F36" s="24">
        <v>8</v>
      </c>
      <c r="G36" s="24">
        <v>29</v>
      </c>
      <c r="H36" s="24">
        <v>8</v>
      </c>
      <c r="I36" s="25">
        <v>80.900000000000006</v>
      </c>
      <c r="J36" s="25">
        <v>72.7</v>
      </c>
      <c r="K36" s="26">
        <v>0.125</v>
      </c>
      <c r="L36" s="26">
        <v>0</v>
      </c>
      <c r="M36" s="24">
        <v>57</v>
      </c>
      <c r="N36" s="28" t="s">
        <v>344</v>
      </c>
      <c r="O36" s="32" t="s">
        <v>344</v>
      </c>
      <c r="P36" s="28" t="s">
        <v>344</v>
      </c>
      <c r="Q36" s="28" t="s">
        <v>344</v>
      </c>
      <c r="R36" s="29">
        <f>LN(F36+1)/LN(MAX($F$10:$F$511)+1)*100</f>
        <v>22.151088184385912</v>
      </c>
      <c r="S36" s="29">
        <f>IF(H36=0,0,(K36*0.5+L36*0.5)*100)</f>
        <v>6.25</v>
      </c>
      <c r="T36" s="29">
        <f>IF(M36="",0,MIN(100,M36/MAX($M$10:$M$511)*100))</f>
        <v>0.76152304609218435</v>
      </c>
      <c r="U36" s="29">
        <f>MIN(100,IF(O36="Yes",50,0)+IF(N36="Yes",30,0)+IF(P36="Yes",20,0))</f>
        <v>100</v>
      </c>
      <c r="V36" s="30">
        <f>ROUND(U36*$C$3+S36*$C$4+T36*$C$5+R36*$C$6,1)</f>
        <v>40.1</v>
      </c>
      <c r="W36" s="9" t="s">
        <v>388</v>
      </c>
    </row>
    <row r="37" spans="1:23" ht="21.75" customHeight="1" x14ac:dyDescent="0.2">
      <c r="A37" s="23">
        <v>62</v>
      </c>
      <c r="B37" s="9" t="s">
        <v>372</v>
      </c>
      <c r="C37" s="9" t="s">
        <v>468</v>
      </c>
      <c r="D37" s="9" t="s">
        <v>480</v>
      </c>
      <c r="E37" s="9" t="s">
        <v>470</v>
      </c>
      <c r="F37" s="24">
        <v>4230</v>
      </c>
      <c r="G37" s="24">
        <v>16184</v>
      </c>
      <c r="H37" s="24">
        <v>4230</v>
      </c>
      <c r="I37" s="25">
        <v>6.2</v>
      </c>
      <c r="J37" s="25">
        <v>15.8</v>
      </c>
      <c r="K37" s="26">
        <v>3.7999999999999999E-2</v>
      </c>
      <c r="L37" s="26">
        <v>4.0000000000000001E-3</v>
      </c>
      <c r="M37" s="24">
        <v>2788</v>
      </c>
      <c r="N37" s="28" t="s">
        <v>344</v>
      </c>
      <c r="O37" s="28" t="s">
        <v>345</v>
      </c>
      <c r="P37" s="28" t="s">
        <v>344</v>
      </c>
      <c r="Q37" s="28" t="s">
        <v>345</v>
      </c>
      <c r="R37" s="29">
        <f>LN(F37+1)/LN(MAX($F$10:$F$511)+1)*100</f>
        <v>84.181597922066231</v>
      </c>
      <c r="S37" s="29">
        <f>IF(H37=0,0,(K37*0.5+L37*0.5)*100)</f>
        <v>2.0999999999999996</v>
      </c>
      <c r="T37" s="29">
        <f>IF(M37="",0,MIN(100,M37/MAX($M$10:$M$511)*100))</f>
        <v>37.24782899131597</v>
      </c>
      <c r="U37" s="29">
        <f>MIN(100,IF(O37="Yes",50,0)+IF(N37="Yes",30,0)+IF(P37="Yes",20,0))</f>
        <v>50</v>
      </c>
      <c r="V37" s="30">
        <f>ROUND(U37*$C$3+S37*$C$4+T37*$C$5+R37*$C$6,1)</f>
        <v>40</v>
      </c>
      <c r="W37" s="9"/>
    </row>
    <row r="38" spans="1:23" ht="15" customHeight="1" x14ac:dyDescent="0.2">
      <c r="A38" s="23">
        <v>63</v>
      </c>
      <c r="B38" s="9" t="s">
        <v>366</v>
      </c>
      <c r="C38" s="9" t="s">
        <v>367</v>
      </c>
      <c r="D38" s="9" t="s">
        <v>481</v>
      </c>
      <c r="E38" s="9" t="s">
        <v>369</v>
      </c>
      <c r="F38" s="24">
        <v>2005</v>
      </c>
      <c r="G38" s="24">
        <v>2132</v>
      </c>
      <c r="H38" s="24">
        <v>2005</v>
      </c>
      <c r="I38" s="25">
        <v>11.6</v>
      </c>
      <c r="J38" s="25">
        <v>17.7</v>
      </c>
      <c r="K38" s="26">
        <v>1.7000000000000001E-2</v>
      </c>
      <c r="L38" s="26">
        <v>2E-3</v>
      </c>
      <c r="M38" s="24">
        <v>3027</v>
      </c>
      <c r="N38" s="31"/>
      <c r="O38" s="32" t="s">
        <v>344</v>
      </c>
      <c r="P38" s="28"/>
      <c r="Q38" s="28" t="s">
        <v>345</v>
      </c>
      <c r="R38" s="29">
        <f>LN(F38+1)/LN(MAX($F$10:$F$511)+1)*100</f>
        <v>76.657896595167756</v>
      </c>
      <c r="S38" s="29">
        <f>IF(H38=0,0,(K38*0.5+L38*0.5)*100)</f>
        <v>0.95000000000000018</v>
      </c>
      <c r="T38" s="29">
        <f>IF(M38="",0,MIN(100,M38/MAX($M$10:$M$511)*100))</f>
        <v>40.440881763527052</v>
      </c>
      <c r="U38" s="29">
        <f>MIN(100,IF(O38="Yes",50,0)+IF(N38="Yes",30,0)+IF(P38="Yes",20,0))</f>
        <v>50</v>
      </c>
      <c r="V38" s="30">
        <f>ROUND(U38*$C$3+S38*$C$4+T38*$C$5+R38*$C$6,1)</f>
        <v>39.299999999999997</v>
      </c>
      <c r="W38" s="9" t="s">
        <v>370</v>
      </c>
    </row>
    <row r="39" spans="1:23" ht="21.75" customHeight="1" x14ac:dyDescent="0.2">
      <c r="A39" s="23">
        <v>65</v>
      </c>
      <c r="B39" s="9" t="s">
        <v>280</v>
      </c>
      <c r="C39" s="9" t="s">
        <v>407</v>
      </c>
      <c r="D39" s="9" t="s">
        <v>401</v>
      </c>
      <c r="E39" s="9" t="s">
        <v>343</v>
      </c>
      <c r="F39" s="24">
        <v>9</v>
      </c>
      <c r="G39" s="24">
        <v>29</v>
      </c>
      <c r="H39" s="24">
        <v>9</v>
      </c>
      <c r="I39" s="25">
        <v>40.200000000000003</v>
      </c>
      <c r="J39" s="25">
        <v>42.3</v>
      </c>
      <c r="K39" s="26">
        <v>0</v>
      </c>
      <c r="L39" s="26">
        <v>0</v>
      </c>
      <c r="M39" s="24">
        <v>57</v>
      </c>
      <c r="N39" s="28" t="s">
        <v>344</v>
      </c>
      <c r="O39" s="32" t="s">
        <v>344</v>
      </c>
      <c r="P39" s="28" t="s">
        <v>344</v>
      </c>
      <c r="Q39" s="28" t="s">
        <v>344</v>
      </c>
      <c r="R39" s="29">
        <f>LN(F39+1)/LN(MAX($F$10:$F$511)+1)*100</f>
        <v>23.213269127363667</v>
      </c>
      <c r="S39" s="29">
        <f>IF(H39=0,0,(K39*0.5+L39*0.5)*100)</f>
        <v>0</v>
      </c>
      <c r="T39" s="29">
        <f>IF(M39="",0,MIN(100,M39/MAX($M$10:$M$511)*100))</f>
        <v>0.76152304609218435</v>
      </c>
      <c r="U39" s="29">
        <f>MIN(100,IF(O39="Yes",50,0)+IF(N39="Yes",30,0)+IF(P39="Yes",20,0))</f>
        <v>100</v>
      </c>
      <c r="V39" s="30">
        <f>ROUND(U39*$C$3+S39*$C$4+T39*$C$5+R39*$C$6,1)</f>
        <v>38.700000000000003</v>
      </c>
      <c r="W39" s="9" t="s">
        <v>388</v>
      </c>
    </row>
    <row r="40" spans="1:23" ht="21.75" customHeight="1" x14ac:dyDescent="0.2">
      <c r="A40" s="23">
        <v>66</v>
      </c>
      <c r="B40" s="9" t="s">
        <v>402</v>
      </c>
      <c r="C40" s="9" t="s">
        <v>472</v>
      </c>
      <c r="D40" s="9" t="s">
        <v>404</v>
      </c>
      <c r="E40" s="9" t="s">
        <v>437</v>
      </c>
      <c r="F40" s="24">
        <v>495</v>
      </c>
      <c r="G40" s="24">
        <v>2221</v>
      </c>
      <c r="H40" s="24">
        <v>495</v>
      </c>
      <c r="I40" s="25">
        <v>96.1</v>
      </c>
      <c r="J40" s="25">
        <v>109</v>
      </c>
      <c r="K40" s="26">
        <v>0.54900000000000004</v>
      </c>
      <c r="L40" s="26">
        <v>9.7000000000000003E-2</v>
      </c>
      <c r="M40" s="24">
        <v>892</v>
      </c>
      <c r="N40" s="28" t="s">
        <v>344</v>
      </c>
      <c r="O40" s="28" t="s">
        <v>345</v>
      </c>
      <c r="P40" s="28" t="s">
        <v>344</v>
      </c>
      <c r="Q40" s="28" t="s">
        <v>344</v>
      </c>
      <c r="R40" s="29">
        <f>LN(F40+1)/LN(MAX($F$10:$F$511)+1)*100</f>
        <v>62.570941584244366</v>
      </c>
      <c r="S40" s="29">
        <f>IF(H40=0,0,(K40*0.5+L40*0.5)*100)</f>
        <v>32.300000000000004</v>
      </c>
      <c r="T40" s="29">
        <f>IF(M40="",0,MIN(100,M40/MAX($M$10:$M$511)*100))</f>
        <v>11.917167668670675</v>
      </c>
      <c r="U40" s="29">
        <f>MIN(100,IF(O40="Yes",50,0)+IF(N40="Yes",30,0)+IF(P40="Yes",20,0))</f>
        <v>50</v>
      </c>
      <c r="V40" s="30">
        <f>ROUND(U40*$C$3+S40*$C$4+T40*$C$5+R40*$C$6,1)</f>
        <v>37.9</v>
      </c>
      <c r="W40" s="9" t="s">
        <v>396</v>
      </c>
    </row>
    <row r="41" spans="1:23" ht="32.25" customHeight="1" x14ac:dyDescent="0.2">
      <c r="A41" s="23">
        <v>67</v>
      </c>
      <c r="B41" s="9" t="s">
        <v>384</v>
      </c>
      <c r="C41" s="9" t="s">
        <v>413</v>
      </c>
      <c r="D41" s="9" t="s">
        <v>483</v>
      </c>
      <c r="E41" s="9" t="s">
        <v>415</v>
      </c>
      <c r="F41" s="24">
        <v>5</v>
      </c>
      <c r="G41" s="24">
        <v>19</v>
      </c>
      <c r="H41" s="24">
        <v>5</v>
      </c>
      <c r="I41" s="25">
        <v>48</v>
      </c>
      <c r="J41" s="25">
        <v>55.4</v>
      </c>
      <c r="K41" s="26">
        <v>0</v>
      </c>
      <c r="L41" s="26">
        <v>0</v>
      </c>
      <c r="M41" s="24">
        <v>41</v>
      </c>
      <c r="N41" s="28" t="s">
        <v>344</v>
      </c>
      <c r="O41" s="32" t="s">
        <v>344</v>
      </c>
      <c r="P41" s="28" t="s">
        <v>344</v>
      </c>
      <c r="Q41" s="28" t="s">
        <v>345</v>
      </c>
      <c r="R41" s="29">
        <f>LN(F41+1)/LN(MAX($F$10:$F$511)+1)*100</f>
        <v>18.063434396950068</v>
      </c>
      <c r="S41" s="29">
        <f>IF(H41=0,0,(K41*0.5+L41*0.5)*100)</f>
        <v>0</v>
      </c>
      <c r="T41" s="29">
        <f>IF(M41="",0,MIN(100,M41/MAX($M$10:$M$511)*100))</f>
        <v>0.54776219104876422</v>
      </c>
      <c r="U41" s="29">
        <f>MIN(100,IF(O41="Yes",50,0)+IF(N41="Yes",30,0)+IF(P41="Yes",20,0))</f>
        <v>100</v>
      </c>
      <c r="V41" s="30">
        <f>ROUND(U41*$C$3+S41*$C$4+T41*$C$5+R41*$C$6,1)</f>
        <v>37.799999999999997</v>
      </c>
      <c r="W41" s="9" t="s">
        <v>388</v>
      </c>
    </row>
    <row r="42" spans="1:23" ht="32.25" customHeight="1" x14ac:dyDescent="0.2">
      <c r="A42" s="23">
        <v>68</v>
      </c>
      <c r="B42" s="9" t="s">
        <v>347</v>
      </c>
      <c r="C42" s="9" t="s">
        <v>484</v>
      </c>
      <c r="D42" s="9"/>
      <c r="E42" s="9" t="s">
        <v>485</v>
      </c>
      <c r="F42" s="24">
        <v>224</v>
      </c>
      <c r="G42" s="24">
        <v>163</v>
      </c>
      <c r="H42" s="24">
        <v>27</v>
      </c>
      <c r="I42" s="25">
        <v>90.5</v>
      </c>
      <c r="J42" s="25">
        <v>190.7</v>
      </c>
      <c r="K42" s="26">
        <v>0.51900000000000002</v>
      </c>
      <c r="L42" s="26">
        <v>0.44400000000000001</v>
      </c>
      <c r="M42" s="24">
        <v>28</v>
      </c>
      <c r="N42" s="28" t="s">
        <v>344</v>
      </c>
      <c r="O42" s="28" t="s">
        <v>345</v>
      </c>
      <c r="P42" s="28" t="s">
        <v>344</v>
      </c>
      <c r="Q42" s="28" t="s">
        <v>345</v>
      </c>
      <c r="R42" s="29">
        <f>LN(F42+1)/LN(MAX($F$10:$F$511)+1)*100</f>
        <v>54.601845829599014</v>
      </c>
      <c r="S42" s="29">
        <f>IF(H42=0,0,(K42*0.5+L42*0.5)*100)</f>
        <v>48.150000000000006</v>
      </c>
      <c r="T42" s="29">
        <f>IF(M42="",0,MIN(100,M42/MAX($M$10:$M$511)*100))</f>
        <v>0.37408149632598531</v>
      </c>
      <c r="U42" s="29">
        <f>MIN(100,IF(O42="Yes",50,0)+IF(N42="Yes",30,0)+IF(P42="Yes",20,0))</f>
        <v>50</v>
      </c>
      <c r="V42" s="30">
        <f>ROUND(U42*$C$3+S42*$C$4+T42*$C$5+R42*$C$6,1)</f>
        <v>37.799999999999997</v>
      </c>
      <c r="W42" s="9" t="s">
        <v>427</v>
      </c>
    </row>
    <row r="43" spans="1:23" ht="21.75" customHeight="1" x14ac:dyDescent="0.2">
      <c r="A43" s="23">
        <v>70</v>
      </c>
      <c r="B43" s="9" t="s">
        <v>280</v>
      </c>
      <c r="C43" s="9" t="s">
        <v>407</v>
      </c>
      <c r="D43" s="9" t="s">
        <v>423</v>
      </c>
      <c r="E43" s="9" t="s">
        <v>488</v>
      </c>
      <c r="F43" s="24">
        <v>2</v>
      </c>
      <c r="G43" s="24">
        <v>29</v>
      </c>
      <c r="H43" s="24">
        <v>2</v>
      </c>
      <c r="I43" s="25">
        <v>61.6</v>
      </c>
      <c r="J43" s="25">
        <v>61.6</v>
      </c>
      <c r="K43" s="26">
        <v>0</v>
      </c>
      <c r="L43" s="26">
        <v>0</v>
      </c>
      <c r="M43" s="24">
        <v>57</v>
      </c>
      <c r="N43" s="28" t="s">
        <v>344</v>
      </c>
      <c r="O43" s="32" t="s">
        <v>344</v>
      </c>
      <c r="P43" s="28" t="s">
        <v>344</v>
      </c>
      <c r="Q43" s="28" t="s">
        <v>344</v>
      </c>
      <c r="R43" s="29">
        <f>LN(F43+1)/LN(MAX($F$10:$F$511)+1)*100</f>
        <v>11.075544092192956</v>
      </c>
      <c r="S43" s="29">
        <f>IF(H43=0,0,(K43*0.5+L43*0.5)*100)</f>
        <v>0</v>
      </c>
      <c r="T43" s="29">
        <f>IF(M43="",0,MIN(100,M43/MAX($M$10:$M$511)*100))</f>
        <v>0.76152304609218435</v>
      </c>
      <c r="U43" s="29">
        <f>MIN(100,IF(O43="Yes",50,0)+IF(N43="Yes",30,0)+IF(P43="Yes",20,0))</f>
        <v>100</v>
      </c>
      <c r="V43" s="30">
        <f>ROUND(U43*$C$3+S43*$C$4+T43*$C$5+R43*$C$6,1)</f>
        <v>36.9</v>
      </c>
      <c r="W43" s="9" t="s">
        <v>388</v>
      </c>
    </row>
    <row r="44" spans="1:23" ht="32.25" customHeight="1" x14ac:dyDescent="0.2">
      <c r="A44" s="23">
        <v>71</v>
      </c>
      <c r="B44" s="9" t="s">
        <v>280</v>
      </c>
      <c r="C44" s="9" t="s">
        <v>420</v>
      </c>
      <c r="D44" s="9" t="s">
        <v>420</v>
      </c>
      <c r="E44" s="9" t="s">
        <v>489</v>
      </c>
      <c r="F44" s="24">
        <v>39</v>
      </c>
      <c r="G44" s="24">
        <v>45</v>
      </c>
      <c r="H44" s="24">
        <v>39</v>
      </c>
      <c r="I44" s="25">
        <v>320.10000000000002</v>
      </c>
      <c r="J44" s="25">
        <v>340.6</v>
      </c>
      <c r="K44" s="26">
        <v>1</v>
      </c>
      <c r="L44" s="26">
        <v>0.92300000000000004</v>
      </c>
      <c r="M44" s="24">
        <v>69</v>
      </c>
      <c r="N44" s="28" t="s">
        <v>345</v>
      </c>
      <c r="O44" s="28" t="s">
        <v>345</v>
      </c>
      <c r="P44" s="28" t="s">
        <v>344</v>
      </c>
      <c r="Q44" s="28" t="s">
        <v>345</v>
      </c>
      <c r="R44" s="29">
        <f>LN(F44+1)/LN(MAX($F$10:$F$511)+1)*100</f>
        <v>37.189049736877891</v>
      </c>
      <c r="S44" s="29">
        <f>IF(H44=0,0,(K44*0.5+L44*0.5)*100)</f>
        <v>96.15</v>
      </c>
      <c r="T44" s="29">
        <f>IF(M44="",0,MIN(100,M44/MAX($M$10:$M$511)*100))</f>
        <v>0.92184368737474942</v>
      </c>
      <c r="U44" s="29">
        <f>MIN(100,IF(O44="Yes",50,0)+IF(N44="Yes",30,0)+IF(P44="Yes",20,0))</f>
        <v>20</v>
      </c>
      <c r="V44" s="30">
        <f>ROUND(U44*$C$3+S44*$C$4+T44*$C$5+R44*$C$6,1)</f>
        <v>36.799999999999997</v>
      </c>
      <c r="W44" s="9" t="s">
        <v>396</v>
      </c>
    </row>
    <row r="45" spans="1:23" ht="32.25" customHeight="1" x14ac:dyDescent="0.2">
      <c r="A45" s="23">
        <v>72</v>
      </c>
      <c r="B45" s="9" t="s">
        <v>384</v>
      </c>
      <c r="C45" s="9" t="s">
        <v>413</v>
      </c>
      <c r="D45" s="9" t="s">
        <v>490</v>
      </c>
      <c r="E45" s="9" t="s">
        <v>415</v>
      </c>
      <c r="F45" s="24">
        <v>2</v>
      </c>
      <c r="G45" s="24">
        <v>19</v>
      </c>
      <c r="H45" s="24">
        <v>2</v>
      </c>
      <c r="I45" s="25">
        <v>53</v>
      </c>
      <c r="J45" s="25">
        <v>53</v>
      </c>
      <c r="K45" s="26">
        <v>0</v>
      </c>
      <c r="L45" s="26">
        <v>0</v>
      </c>
      <c r="M45" s="24">
        <v>41</v>
      </c>
      <c r="N45" s="28" t="s">
        <v>344</v>
      </c>
      <c r="O45" s="32" t="s">
        <v>344</v>
      </c>
      <c r="P45" s="28" t="s">
        <v>344</v>
      </c>
      <c r="Q45" s="28" t="s">
        <v>345</v>
      </c>
      <c r="R45" s="29">
        <f>LN(F45+1)/LN(MAX($F$10:$F$511)+1)*100</f>
        <v>11.075544092192956</v>
      </c>
      <c r="S45" s="29">
        <f>IF(H45=0,0,(K45*0.5+L45*0.5)*100)</f>
        <v>0</v>
      </c>
      <c r="T45" s="29">
        <f>IF(M45="",0,MIN(100,M45/MAX($M$10:$M$511)*100))</f>
        <v>0.54776219104876422</v>
      </c>
      <c r="U45" s="29">
        <f>MIN(100,IF(O45="Yes",50,0)+IF(N45="Yes",30,0)+IF(P45="Yes",20,0))</f>
        <v>100</v>
      </c>
      <c r="V45" s="30">
        <f>ROUND(U45*$C$3+S45*$C$4+T45*$C$5+R45*$C$6,1)</f>
        <v>36.799999999999997</v>
      </c>
      <c r="W45" s="9" t="s">
        <v>388</v>
      </c>
    </row>
    <row r="46" spans="1:23" ht="21.75" customHeight="1" x14ac:dyDescent="0.2">
      <c r="A46" s="23">
        <v>73</v>
      </c>
      <c r="B46" s="9" t="s">
        <v>384</v>
      </c>
      <c r="C46" s="9" t="s">
        <v>413</v>
      </c>
      <c r="D46" s="9" t="s">
        <v>491</v>
      </c>
      <c r="E46" s="9" t="s">
        <v>415</v>
      </c>
      <c r="F46" s="24">
        <v>2</v>
      </c>
      <c r="G46" s="24">
        <v>19</v>
      </c>
      <c r="H46" s="24">
        <v>2</v>
      </c>
      <c r="I46" s="25">
        <v>40.9</v>
      </c>
      <c r="J46" s="25">
        <v>40.9</v>
      </c>
      <c r="K46" s="26">
        <v>0</v>
      </c>
      <c r="L46" s="26">
        <v>0</v>
      </c>
      <c r="M46" s="24">
        <v>41</v>
      </c>
      <c r="N46" s="28" t="s">
        <v>344</v>
      </c>
      <c r="O46" s="32" t="s">
        <v>344</v>
      </c>
      <c r="P46" s="28" t="s">
        <v>344</v>
      </c>
      <c r="Q46" s="28" t="s">
        <v>345</v>
      </c>
      <c r="R46" s="29">
        <f>LN(F46+1)/LN(MAX($F$10:$F$511)+1)*100</f>
        <v>11.075544092192956</v>
      </c>
      <c r="S46" s="29">
        <f>IF(H46=0,0,(K46*0.5+L46*0.5)*100)</f>
        <v>0</v>
      </c>
      <c r="T46" s="29">
        <f>IF(M46="",0,MIN(100,M46/MAX($M$10:$M$511)*100))</f>
        <v>0.54776219104876422</v>
      </c>
      <c r="U46" s="29">
        <f>MIN(100,IF(O46="Yes",50,0)+IF(N46="Yes",30,0)+IF(P46="Yes",20,0))</f>
        <v>100</v>
      </c>
      <c r="V46" s="30">
        <f>ROUND(U46*$C$3+S46*$C$4+T46*$C$5+R46*$C$6,1)</f>
        <v>36.799999999999997</v>
      </c>
      <c r="W46" s="9" t="s">
        <v>388</v>
      </c>
    </row>
    <row r="47" spans="1:23" ht="32.25" customHeight="1" x14ac:dyDescent="0.2">
      <c r="A47" s="23">
        <v>74</v>
      </c>
      <c r="B47" s="9" t="s">
        <v>280</v>
      </c>
      <c r="C47" s="9" t="s">
        <v>492</v>
      </c>
      <c r="D47" s="9" t="s">
        <v>359</v>
      </c>
      <c r="E47" s="9" t="s">
        <v>343</v>
      </c>
      <c r="F47" s="24">
        <v>7</v>
      </c>
      <c r="G47" s="24">
        <v>37</v>
      </c>
      <c r="H47" s="24">
        <v>7</v>
      </c>
      <c r="I47" s="25">
        <v>127.5</v>
      </c>
      <c r="J47" s="25">
        <v>151.6</v>
      </c>
      <c r="K47" s="26">
        <v>1</v>
      </c>
      <c r="L47" s="26">
        <v>0.28599999999999998</v>
      </c>
      <c r="M47" s="24">
        <v>17</v>
      </c>
      <c r="N47" s="28" t="s">
        <v>344</v>
      </c>
      <c r="O47" s="28" t="s">
        <v>345</v>
      </c>
      <c r="P47" s="28" t="s">
        <v>344</v>
      </c>
      <c r="Q47" s="28" t="s">
        <v>345</v>
      </c>
      <c r="R47" s="29">
        <f>LN(F47+1)/LN(MAX($F$10:$F$511)+1)*100</f>
        <v>20.963670914271336</v>
      </c>
      <c r="S47" s="29">
        <f>IF(H47=0,0,(K47*0.5+L47*0.5)*100)</f>
        <v>64.3</v>
      </c>
      <c r="T47" s="29">
        <f>IF(M47="",0,MIN(100,M47/MAX($M$10:$M$511)*100))</f>
        <v>0.22712090848363395</v>
      </c>
      <c r="U47" s="29">
        <f>MIN(100,IF(O47="Yes",50,0)+IF(N47="Yes",30,0)+IF(P47="Yes",20,0))</f>
        <v>50</v>
      </c>
      <c r="V47" s="30">
        <f>ROUND(U47*$C$3+S47*$C$4+T47*$C$5+R47*$C$6,1)</f>
        <v>36.799999999999997</v>
      </c>
      <c r="W47" s="9" t="s">
        <v>388</v>
      </c>
    </row>
    <row r="48" spans="1:23" ht="42.75" customHeight="1" x14ac:dyDescent="0.2">
      <c r="A48" s="23">
        <v>75</v>
      </c>
      <c r="B48" s="9" t="s">
        <v>280</v>
      </c>
      <c r="C48" s="9" t="s">
        <v>454</v>
      </c>
      <c r="D48" s="9" t="s">
        <v>359</v>
      </c>
      <c r="E48" s="9" t="s">
        <v>343</v>
      </c>
      <c r="F48" s="24">
        <v>7</v>
      </c>
      <c r="G48" s="24">
        <v>26</v>
      </c>
      <c r="H48" s="24">
        <v>7</v>
      </c>
      <c r="I48" s="25">
        <v>139.9</v>
      </c>
      <c r="J48" s="25">
        <v>149.9</v>
      </c>
      <c r="K48" s="26">
        <v>1</v>
      </c>
      <c r="L48" s="26">
        <v>0.28599999999999998</v>
      </c>
      <c r="M48" s="24">
        <v>2</v>
      </c>
      <c r="N48" s="28" t="s">
        <v>344</v>
      </c>
      <c r="O48" s="28" t="s">
        <v>345</v>
      </c>
      <c r="P48" s="28" t="s">
        <v>344</v>
      </c>
      <c r="Q48" s="28" t="s">
        <v>345</v>
      </c>
      <c r="R48" s="29">
        <f>LN(F48+1)/LN(MAX($F$10:$F$511)+1)*100</f>
        <v>20.963670914271336</v>
      </c>
      <c r="S48" s="29">
        <f>IF(H48=0,0,(K48*0.5+L48*0.5)*100)</f>
        <v>64.3</v>
      </c>
      <c r="T48" s="29">
        <f>IF(M48="",0,MIN(100,M48/MAX($M$10:$M$511)*100))</f>
        <v>2.6720106880427523E-2</v>
      </c>
      <c r="U48" s="29">
        <f>MIN(100,IF(O48="Yes",50,0)+IF(N48="Yes",30,0)+IF(P48="Yes",20,0))</f>
        <v>50</v>
      </c>
      <c r="V48" s="30">
        <f>ROUND(U48*$C$3+S48*$C$4+T48*$C$5+R48*$C$6,1)</f>
        <v>36.700000000000003</v>
      </c>
      <c r="W48" s="9" t="s">
        <v>451</v>
      </c>
    </row>
    <row r="49" spans="1:23" ht="21.75" customHeight="1" x14ac:dyDescent="0.2">
      <c r="A49" s="23">
        <v>77</v>
      </c>
      <c r="B49" s="9" t="s">
        <v>384</v>
      </c>
      <c r="C49" s="9" t="s">
        <v>413</v>
      </c>
      <c r="D49" s="9" t="s">
        <v>493</v>
      </c>
      <c r="E49" s="9" t="s">
        <v>415</v>
      </c>
      <c r="F49" s="24">
        <v>1</v>
      </c>
      <c r="G49" s="24">
        <v>19</v>
      </c>
      <c r="H49" s="24">
        <v>1</v>
      </c>
      <c r="I49" s="25">
        <v>43.9</v>
      </c>
      <c r="J49" s="25">
        <v>43.9</v>
      </c>
      <c r="K49" s="26">
        <v>0</v>
      </c>
      <c r="L49" s="26">
        <v>0</v>
      </c>
      <c r="M49" s="24">
        <v>41</v>
      </c>
      <c r="N49" s="28" t="s">
        <v>344</v>
      </c>
      <c r="O49" s="32" t="s">
        <v>344</v>
      </c>
      <c r="P49" s="28" t="s">
        <v>344</v>
      </c>
      <c r="Q49" s="28" t="s">
        <v>345</v>
      </c>
      <c r="R49" s="29">
        <f>LN(F49+1)/LN(MAX($F$10:$F$511)+1)*100</f>
        <v>6.987890304757113</v>
      </c>
      <c r="S49" s="29">
        <f>IF(H49=0,0,(K49*0.5+L49*0.5)*100)</f>
        <v>0</v>
      </c>
      <c r="T49" s="29">
        <f>IF(M49="",0,MIN(100,M49/MAX($M$10:$M$511)*100))</f>
        <v>0.54776219104876422</v>
      </c>
      <c r="U49" s="29">
        <f>MIN(100,IF(O49="Yes",50,0)+IF(N49="Yes",30,0)+IF(P49="Yes",20,0))</f>
        <v>100</v>
      </c>
      <c r="V49" s="30">
        <f>ROUND(U49*$C$3+S49*$C$4+T49*$C$5+R49*$C$6,1)</f>
        <v>36.200000000000003</v>
      </c>
      <c r="W49" s="9" t="s">
        <v>388</v>
      </c>
    </row>
    <row r="50" spans="1:23" ht="32.25" customHeight="1" x14ac:dyDescent="0.2">
      <c r="A50" s="23">
        <v>78</v>
      </c>
      <c r="B50" s="9" t="s">
        <v>384</v>
      </c>
      <c r="C50" s="9" t="s">
        <v>413</v>
      </c>
      <c r="D50" s="9" t="s">
        <v>494</v>
      </c>
      <c r="E50" s="9" t="s">
        <v>415</v>
      </c>
      <c r="F50" s="24">
        <v>1</v>
      </c>
      <c r="G50" s="24">
        <v>19</v>
      </c>
      <c r="H50" s="24">
        <v>1</v>
      </c>
      <c r="I50" s="25">
        <v>63.9</v>
      </c>
      <c r="J50" s="25">
        <v>63.9</v>
      </c>
      <c r="K50" s="26">
        <v>0</v>
      </c>
      <c r="L50" s="26">
        <v>0</v>
      </c>
      <c r="M50" s="24">
        <v>41</v>
      </c>
      <c r="N50" s="28" t="s">
        <v>344</v>
      </c>
      <c r="O50" s="32" t="s">
        <v>344</v>
      </c>
      <c r="P50" s="28" t="s">
        <v>344</v>
      </c>
      <c r="Q50" s="28" t="s">
        <v>345</v>
      </c>
      <c r="R50" s="29">
        <f>LN(F50+1)/LN(MAX($F$10:$F$511)+1)*100</f>
        <v>6.987890304757113</v>
      </c>
      <c r="S50" s="29">
        <f>IF(H50=0,0,(K50*0.5+L50*0.5)*100)</f>
        <v>0</v>
      </c>
      <c r="T50" s="29">
        <f>IF(M50="",0,MIN(100,M50/MAX($M$10:$M$511)*100))</f>
        <v>0.54776219104876422</v>
      </c>
      <c r="U50" s="29">
        <f>MIN(100,IF(O50="Yes",50,0)+IF(N50="Yes",30,0)+IF(P50="Yes",20,0))</f>
        <v>100</v>
      </c>
      <c r="V50" s="30">
        <f>ROUND(U50*$C$3+S50*$C$4+T50*$C$5+R50*$C$6,1)</f>
        <v>36.200000000000003</v>
      </c>
      <c r="W50" s="9" t="s">
        <v>388</v>
      </c>
    </row>
    <row r="51" spans="1:23" ht="15" customHeight="1" x14ac:dyDescent="0.2">
      <c r="A51" s="23">
        <v>79</v>
      </c>
      <c r="B51" s="9" t="s">
        <v>366</v>
      </c>
      <c r="C51" s="9" t="s">
        <v>495</v>
      </c>
      <c r="D51" s="9" t="s">
        <v>496</v>
      </c>
      <c r="E51" s="9" t="s">
        <v>497</v>
      </c>
      <c r="F51" s="24">
        <v>176</v>
      </c>
      <c r="G51" s="24">
        <v>120</v>
      </c>
      <c r="H51" s="24">
        <v>176</v>
      </c>
      <c r="I51" s="25">
        <v>93.9</v>
      </c>
      <c r="J51" s="25">
        <v>137.19999999999999</v>
      </c>
      <c r="K51" s="26">
        <v>0.56200000000000006</v>
      </c>
      <c r="L51" s="26">
        <v>0.25</v>
      </c>
      <c r="M51" s="24">
        <v>195</v>
      </c>
      <c r="N51" s="31"/>
      <c r="O51" s="32" t="s">
        <v>344</v>
      </c>
      <c r="P51" s="28"/>
      <c r="Q51" s="28" t="s">
        <v>345</v>
      </c>
      <c r="R51" s="29">
        <f>LN(F51+1)/LN(MAX($F$10:$F$511)+1)*100</f>
        <v>52.182808423175388</v>
      </c>
      <c r="S51" s="29">
        <f>IF(H51=0,0,(K51*0.5+L51*0.5)*100)</f>
        <v>40.6</v>
      </c>
      <c r="T51" s="29">
        <f>IF(M51="",0,MIN(100,M51/MAX($M$10:$M$511)*100))</f>
        <v>2.6052104208416833</v>
      </c>
      <c r="U51" s="29">
        <f>MIN(100,IF(O51="Yes",50,0)+IF(N51="Yes",30,0)+IF(P51="Yes",20,0))</f>
        <v>50</v>
      </c>
      <c r="V51" s="30">
        <f>ROUND(U51*$C$3+S51*$C$4+T51*$C$5+R51*$C$6,1)</f>
        <v>36.1</v>
      </c>
      <c r="W51" s="9" t="s">
        <v>370</v>
      </c>
    </row>
    <row r="52" spans="1:23" ht="42.75" customHeight="1" x14ac:dyDescent="0.2">
      <c r="A52" s="23">
        <v>80</v>
      </c>
      <c r="B52" s="9" t="s">
        <v>402</v>
      </c>
      <c r="C52" s="9" t="s">
        <v>472</v>
      </c>
      <c r="D52" s="9" t="s">
        <v>498</v>
      </c>
      <c r="E52" s="9" t="s">
        <v>437</v>
      </c>
      <c r="F52" s="24">
        <v>7</v>
      </c>
      <c r="G52" s="24">
        <v>2221</v>
      </c>
      <c r="H52" s="24">
        <v>7</v>
      </c>
      <c r="I52" s="25">
        <v>163.30000000000001</v>
      </c>
      <c r="J52" s="25">
        <v>163.19999999999999</v>
      </c>
      <c r="K52" s="26">
        <v>0.71399999999999997</v>
      </c>
      <c r="L52" s="26">
        <v>0.28599999999999998</v>
      </c>
      <c r="M52" s="24">
        <v>892</v>
      </c>
      <c r="N52" s="28" t="s">
        <v>344</v>
      </c>
      <c r="O52" s="28" t="s">
        <v>345</v>
      </c>
      <c r="P52" s="28" t="s">
        <v>344</v>
      </c>
      <c r="Q52" s="28" t="s">
        <v>344</v>
      </c>
      <c r="R52" s="29">
        <f>LN(F52+1)/LN(MAX($F$10:$F$511)+1)*100</f>
        <v>20.963670914271336</v>
      </c>
      <c r="S52" s="29">
        <f>IF(H52=0,0,(K52*0.5+L52*0.5)*100)</f>
        <v>50</v>
      </c>
      <c r="T52" s="29">
        <f>IF(M52="",0,MIN(100,M52/MAX($M$10:$M$511)*100))</f>
        <v>11.917167668670675</v>
      </c>
      <c r="U52" s="29">
        <f>MIN(100,IF(O52="Yes",50,0)+IF(N52="Yes",30,0)+IF(P52="Yes",20,0))</f>
        <v>50</v>
      </c>
      <c r="V52" s="30">
        <f>ROUND(U52*$C$3+S52*$C$4+T52*$C$5+R52*$C$6,1)</f>
        <v>36.1</v>
      </c>
      <c r="W52" s="9" t="s">
        <v>388</v>
      </c>
    </row>
    <row r="53" spans="1:23" ht="32.25" customHeight="1" x14ac:dyDescent="0.2">
      <c r="A53" s="23">
        <v>81</v>
      </c>
      <c r="B53" s="9" t="s">
        <v>384</v>
      </c>
      <c r="C53" s="9" t="s">
        <v>499</v>
      </c>
      <c r="D53" s="9" t="s">
        <v>500</v>
      </c>
      <c r="E53" s="9" t="s">
        <v>501</v>
      </c>
      <c r="F53" s="24">
        <v>8</v>
      </c>
      <c r="G53" s="24">
        <v>20</v>
      </c>
      <c r="H53" s="24">
        <v>8</v>
      </c>
      <c r="I53" s="25">
        <v>596.6</v>
      </c>
      <c r="J53" s="25">
        <v>554</v>
      </c>
      <c r="K53" s="26">
        <v>1</v>
      </c>
      <c r="L53" s="26">
        <v>1</v>
      </c>
      <c r="M53" s="24">
        <v>138</v>
      </c>
      <c r="N53" s="28" t="s">
        <v>345</v>
      </c>
      <c r="O53" s="28" t="s">
        <v>345</v>
      </c>
      <c r="P53" s="28" t="s">
        <v>344</v>
      </c>
      <c r="Q53" s="28" t="s">
        <v>344</v>
      </c>
      <c r="R53" s="29">
        <f>LN(F53+1)/LN(MAX($F$10:$F$511)+1)*100</f>
        <v>22.151088184385912</v>
      </c>
      <c r="S53" s="29">
        <f>IF(H53=0,0,(K53*0.5+L53*0.5)*100)</f>
        <v>100</v>
      </c>
      <c r="T53" s="29">
        <f>IF(M53="",0,MIN(100,M53/MAX($M$10:$M$511)*100))</f>
        <v>1.8436873747494988</v>
      </c>
      <c r="U53" s="29">
        <f>MIN(100,IF(O53="Yes",50,0)+IF(N53="Yes",30,0)+IF(P53="Yes",20,0))</f>
        <v>20</v>
      </c>
      <c r="V53" s="30">
        <f>ROUND(U53*$C$3+S53*$C$4+T53*$C$5+R53*$C$6,1)</f>
        <v>35.799999999999997</v>
      </c>
      <c r="W53" s="9" t="s">
        <v>388</v>
      </c>
    </row>
    <row r="54" spans="1:23" ht="15" customHeight="1" x14ac:dyDescent="0.2">
      <c r="A54" s="23">
        <v>83</v>
      </c>
      <c r="B54" s="9" t="s">
        <v>372</v>
      </c>
      <c r="C54" s="9" t="s">
        <v>468</v>
      </c>
      <c r="D54" s="9" t="s">
        <v>309</v>
      </c>
      <c r="E54" s="9" t="s">
        <v>470</v>
      </c>
      <c r="F54" s="24">
        <v>16</v>
      </c>
      <c r="G54" s="24">
        <v>16184</v>
      </c>
      <c r="H54" s="24">
        <v>16</v>
      </c>
      <c r="I54" s="25">
        <v>34.4</v>
      </c>
      <c r="J54" s="25">
        <v>51.4</v>
      </c>
      <c r="K54" s="26">
        <v>0.25</v>
      </c>
      <c r="L54" s="26">
        <v>0</v>
      </c>
      <c r="M54" s="24">
        <v>2788</v>
      </c>
      <c r="N54" s="28" t="s">
        <v>344</v>
      </c>
      <c r="O54" s="28" t="s">
        <v>345</v>
      </c>
      <c r="P54" s="28" t="s">
        <v>344</v>
      </c>
      <c r="Q54" s="28" t="s">
        <v>345</v>
      </c>
      <c r="R54" s="29">
        <f>LN(F54+1)/LN(MAX($F$10:$F$511)+1)*100</f>
        <v>28.562741959428212</v>
      </c>
      <c r="S54" s="29">
        <f>IF(H54=0,0,(K54*0.5+L54*0.5)*100)</f>
        <v>12.5</v>
      </c>
      <c r="T54" s="29">
        <f>IF(M54="",0,MIN(100,M54/MAX($M$10:$M$511)*100))</f>
        <v>37.24782899131597</v>
      </c>
      <c r="U54" s="29">
        <f>MIN(100,IF(O54="Yes",50,0)+IF(N54="Yes",30,0)+IF(P54="Yes",20,0))</f>
        <v>50</v>
      </c>
      <c r="V54" s="30">
        <f>ROUND(U54*$C$3+S54*$C$4+T54*$C$5+R54*$C$6,1)</f>
        <v>34.200000000000003</v>
      </c>
      <c r="W54" s="9" t="s">
        <v>396</v>
      </c>
    </row>
    <row r="55" spans="1:23" ht="21.75" customHeight="1" x14ac:dyDescent="0.2">
      <c r="A55" s="23">
        <v>84</v>
      </c>
      <c r="B55" s="9" t="s">
        <v>280</v>
      </c>
      <c r="C55" s="9" t="s">
        <v>504</v>
      </c>
      <c r="D55" s="9" t="s">
        <v>505</v>
      </c>
      <c r="E55" s="9" t="s">
        <v>489</v>
      </c>
      <c r="F55" s="24">
        <v>3</v>
      </c>
      <c r="G55" s="24">
        <v>5</v>
      </c>
      <c r="H55" s="24">
        <v>3</v>
      </c>
      <c r="I55" s="25">
        <v>292</v>
      </c>
      <c r="J55" s="25">
        <v>343.4</v>
      </c>
      <c r="K55" s="26">
        <v>1</v>
      </c>
      <c r="L55" s="26">
        <v>1</v>
      </c>
      <c r="M55" s="24">
        <v>14</v>
      </c>
      <c r="N55" s="28" t="s">
        <v>345</v>
      </c>
      <c r="O55" s="28" t="s">
        <v>345</v>
      </c>
      <c r="P55" s="28" t="s">
        <v>344</v>
      </c>
      <c r="Q55" s="28" t="s">
        <v>345</v>
      </c>
      <c r="R55" s="29">
        <f>LN(F55+1)/LN(MAX($F$10:$F$511)+1)*100</f>
        <v>13.975780609514226</v>
      </c>
      <c r="S55" s="29">
        <f>IF(H55=0,0,(K55*0.5+L55*0.5)*100)</f>
        <v>100</v>
      </c>
      <c r="T55" s="29">
        <f>IF(M55="",0,MIN(100,M55/MAX($M$10:$M$511)*100))</f>
        <v>0.18704074816299265</v>
      </c>
      <c r="U55" s="29">
        <f>MIN(100,IF(O55="Yes",50,0)+IF(N55="Yes",30,0)+IF(P55="Yes",20,0))</f>
        <v>20</v>
      </c>
      <c r="V55" s="30">
        <f>ROUND(U55*$C$3+S55*$C$4+T55*$C$5+R55*$C$6,1)</f>
        <v>34.1</v>
      </c>
      <c r="W55" s="9" t="s">
        <v>388</v>
      </c>
    </row>
    <row r="56" spans="1:23" ht="21.75" customHeight="1" x14ac:dyDescent="0.2">
      <c r="A56" s="23">
        <v>85</v>
      </c>
      <c r="B56" s="9" t="s">
        <v>402</v>
      </c>
      <c r="C56" s="9" t="s">
        <v>472</v>
      </c>
      <c r="D56" s="9" t="s">
        <v>506</v>
      </c>
      <c r="E56" s="9" t="s">
        <v>437</v>
      </c>
      <c r="F56" s="24">
        <v>1</v>
      </c>
      <c r="G56" s="24">
        <v>2221</v>
      </c>
      <c r="H56" s="24">
        <v>1</v>
      </c>
      <c r="I56" s="25">
        <v>138.80000000000001</v>
      </c>
      <c r="J56" s="25">
        <v>138.80000000000001</v>
      </c>
      <c r="K56" s="26">
        <v>1</v>
      </c>
      <c r="L56" s="26">
        <v>0</v>
      </c>
      <c r="M56" s="24">
        <v>892</v>
      </c>
      <c r="N56" s="28" t="s">
        <v>344</v>
      </c>
      <c r="O56" s="28" t="s">
        <v>345</v>
      </c>
      <c r="P56" s="28" t="s">
        <v>344</v>
      </c>
      <c r="Q56" s="28" t="s">
        <v>344</v>
      </c>
      <c r="R56" s="29">
        <f>LN(F56+1)/LN(MAX($F$10:$F$511)+1)*100</f>
        <v>6.987890304757113</v>
      </c>
      <c r="S56" s="29">
        <f>IF(H56=0,0,(K56*0.5+L56*0.5)*100)</f>
        <v>50</v>
      </c>
      <c r="T56" s="29">
        <f>IF(M56="",0,MIN(100,M56/MAX($M$10:$M$511)*100))</f>
        <v>11.917167668670675</v>
      </c>
      <c r="U56" s="29">
        <f>MIN(100,IF(O56="Yes",50,0)+IF(N56="Yes",30,0)+IF(P56="Yes",20,0))</f>
        <v>50</v>
      </c>
      <c r="V56" s="30">
        <f>ROUND(U56*$C$3+S56*$C$4+T56*$C$5+R56*$C$6,1)</f>
        <v>34</v>
      </c>
      <c r="W56" s="9" t="s">
        <v>388</v>
      </c>
    </row>
    <row r="57" spans="1:23" ht="32.25" customHeight="1" x14ac:dyDescent="0.2">
      <c r="A57" s="23">
        <v>3</v>
      </c>
      <c r="B57" s="9" t="s">
        <v>351</v>
      </c>
      <c r="C57" s="9" t="s">
        <v>352</v>
      </c>
      <c r="D57" s="9" t="s">
        <v>353</v>
      </c>
      <c r="E57" s="9" t="s">
        <v>354</v>
      </c>
      <c r="F57" s="24">
        <v>370</v>
      </c>
      <c r="G57" s="24">
        <v>469</v>
      </c>
      <c r="H57" s="24">
        <v>1</v>
      </c>
      <c r="I57" s="25">
        <v>454.5</v>
      </c>
      <c r="J57" s="25">
        <v>454.5</v>
      </c>
      <c r="K57" s="26">
        <v>1</v>
      </c>
      <c r="L57" s="26">
        <v>1</v>
      </c>
      <c r="M57" s="27"/>
      <c r="N57" s="31"/>
      <c r="O57" s="28" t="s">
        <v>345</v>
      </c>
      <c r="P57" s="28"/>
      <c r="Q57" s="28" t="s">
        <v>345</v>
      </c>
      <c r="R57" s="29">
        <f>LN(F57+1)/LN(MAX($F$10:$F$511)+1)*100</f>
        <v>59.643568052720632</v>
      </c>
      <c r="S57" s="29">
        <f>IF(H57=0,0,(K57*0.5+L57*0.5)*100)</f>
        <v>100</v>
      </c>
      <c r="T57" s="29">
        <f>IF(M57="",0,MIN(100,M57/MAX($M$10:$M$511)*100))</f>
        <v>0</v>
      </c>
      <c r="U57" s="29">
        <f>MIN(100,IF(O57="Yes",50,0)+IF(N57="Yes",30,0)+IF(P57="Yes",20,0))</f>
        <v>0</v>
      </c>
      <c r="V57" s="30">
        <f>ROUND(U57*$C$3+S57*$C$4+T57*$C$5+R57*$C$6,1)</f>
        <v>33.9</v>
      </c>
      <c r="W57" s="9" t="s">
        <v>355</v>
      </c>
    </row>
    <row r="58" spans="1:23" ht="32.25" customHeight="1" x14ac:dyDescent="0.2">
      <c r="A58" s="23">
        <v>86</v>
      </c>
      <c r="B58" s="9" t="s">
        <v>507</v>
      </c>
      <c r="C58" s="9" t="s">
        <v>508</v>
      </c>
      <c r="D58" s="9"/>
      <c r="E58" s="9" t="s">
        <v>509</v>
      </c>
      <c r="F58" s="24">
        <v>11274</v>
      </c>
      <c r="G58" s="24">
        <v>5886</v>
      </c>
      <c r="H58" s="24">
        <v>11274</v>
      </c>
      <c r="I58" s="25">
        <v>0.6</v>
      </c>
      <c r="J58" s="25">
        <v>1.8</v>
      </c>
      <c r="K58" s="26">
        <v>0</v>
      </c>
      <c r="L58" s="26">
        <v>0</v>
      </c>
      <c r="M58" s="24">
        <v>679</v>
      </c>
      <c r="N58" s="28" t="s">
        <v>344</v>
      </c>
      <c r="O58" s="28" t="s">
        <v>345</v>
      </c>
      <c r="P58" s="28" t="s">
        <v>344</v>
      </c>
      <c r="Q58" s="28" t="s">
        <v>345</v>
      </c>
      <c r="R58" s="29">
        <f>LN(F58+1)/LN(MAX($F$10:$F$511)+1)*100</f>
        <v>94.062872023361621</v>
      </c>
      <c r="S58" s="29">
        <f>IF(H58=0,0,(K58*0.5+L58*0.5)*100)</f>
        <v>0</v>
      </c>
      <c r="T58" s="29">
        <f>IF(M58="",0,MIN(100,M58/MAX($M$10:$M$511)*100))</f>
        <v>9.0714762859051437</v>
      </c>
      <c r="U58" s="29">
        <f>MIN(100,IF(O58="Yes",50,0)+IF(N58="Yes",30,0)+IF(P58="Yes",20,0))</f>
        <v>50</v>
      </c>
      <c r="V58" s="30">
        <f>ROUND(U58*$C$3+S58*$C$4+T58*$C$5+R58*$C$6,1)</f>
        <v>33.9</v>
      </c>
      <c r="W58" s="9" t="s">
        <v>427</v>
      </c>
    </row>
    <row r="59" spans="1:23" ht="32.25" customHeight="1" x14ac:dyDescent="0.2">
      <c r="A59" s="23">
        <v>87</v>
      </c>
      <c r="B59" s="9" t="s">
        <v>510</v>
      </c>
      <c r="C59" s="9" t="s">
        <v>511</v>
      </c>
      <c r="D59" s="9" t="s">
        <v>195</v>
      </c>
      <c r="E59" s="9" t="s">
        <v>512</v>
      </c>
      <c r="F59" s="24">
        <v>17</v>
      </c>
      <c r="G59" s="24">
        <v>21</v>
      </c>
      <c r="H59" s="24">
        <v>17</v>
      </c>
      <c r="I59" s="25">
        <v>118.1</v>
      </c>
      <c r="J59" s="25">
        <v>177.8</v>
      </c>
      <c r="K59" s="26">
        <v>0.58799999999999997</v>
      </c>
      <c r="L59" s="26">
        <v>0.35299999999999998</v>
      </c>
      <c r="M59" s="24">
        <v>58</v>
      </c>
      <c r="N59" s="31"/>
      <c r="O59" s="32" t="s">
        <v>344</v>
      </c>
      <c r="P59" s="28"/>
      <c r="Q59" s="28" t="s">
        <v>344</v>
      </c>
      <c r="R59" s="29">
        <f>LN(F59+1)/LN(MAX($F$10:$F$511)+1)*100</f>
        <v>29.138978489143025</v>
      </c>
      <c r="S59" s="29">
        <f>IF(H59=0,0,(K59*0.5+L59*0.5)*100)</f>
        <v>47.05</v>
      </c>
      <c r="T59" s="29">
        <f>IF(M59="",0,MIN(100,M59/MAX($M$10:$M$511)*100))</f>
        <v>0.77488309953239809</v>
      </c>
      <c r="U59" s="29">
        <f>MIN(100,IF(O59="Yes",50,0)+IF(N59="Yes",30,0)+IF(P59="Yes",20,0))</f>
        <v>50</v>
      </c>
      <c r="V59" s="30">
        <f>ROUND(U59*$C$3+S59*$C$4+T59*$C$5+R59*$C$6,1)</f>
        <v>33.799999999999997</v>
      </c>
      <c r="W59" s="9" t="s">
        <v>370</v>
      </c>
    </row>
    <row r="60" spans="1:23" ht="21.75" customHeight="1" x14ac:dyDescent="0.2">
      <c r="A60" s="23">
        <v>88</v>
      </c>
      <c r="B60" s="9" t="s">
        <v>384</v>
      </c>
      <c r="C60" s="9" t="s">
        <v>513</v>
      </c>
      <c r="D60" s="9" t="s">
        <v>514</v>
      </c>
      <c r="E60" s="9" t="s">
        <v>501</v>
      </c>
      <c r="F60" s="24">
        <v>2</v>
      </c>
      <c r="G60" s="24">
        <v>2</v>
      </c>
      <c r="H60" s="24">
        <v>2</v>
      </c>
      <c r="I60" s="25">
        <v>214.6</v>
      </c>
      <c r="J60" s="25">
        <v>214.6</v>
      </c>
      <c r="K60" s="26">
        <v>1</v>
      </c>
      <c r="L60" s="26">
        <v>1</v>
      </c>
      <c r="M60" s="24">
        <v>29</v>
      </c>
      <c r="N60" s="28" t="s">
        <v>345</v>
      </c>
      <c r="O60" s="28" t="s">
        <v>345</v>
      </c>
      <c r="P60" s="28" t="s">
        <v>344</v>
      </c>
      <c r="Q60" s="28" t="s">
        <v>345</v>
      </c>
      <c r="R60" s="29">
        <f>LN(F60+1)/LN(MAX($F$10:$F$511)+1)*100</f>
        <v>11.075544092192956</v>
      </c>
      <c r="S60" s="29">
        <f>IF(H60=0,0,(K60*0.5+L60*0.5)*100)</f>
        <v>100</v>
      </c>
      <c r="T60" s="29">
        <f>IF(M60="",0,MIN(100,M60/MAX($M$10:$M$511)*100))</f>
        <v>0.38744154976619904</v>
      </c>
      <c r="U60" s="29">
        <f>MIN(100,IF(O60="Yes",50,0)+IF(N60="Yes",30,0)+IF(P60="Yes",20,0))</f>
        <v>20</v>
      </c>
      <c r="V60" s="30">
        <f>ROUND(U60*$C$3+S60*$C$4+T60*$C$5+R60*$C$6,1)</f>
        <v>33.799999999999997</v>
      </c>
      <c r="W60" s="9" t="s">
        <v>388</v>
      </c>
    </row>
    <row r="61" spans="1:23" ht="21.75" customHeight="1" x14ac:dyDescent="0.2">
      <c r="A61" s="23">
        <v>90</v>
      </c>
      <c r="B61" s="9" t="s">
        <v>372</v>
      </c>
      <c r="C61" s="9" t="s">
        <v>519</v>
      </c>
      <c r="D61" s="9" t="s">
        <v>520</v>
      </c>
      <c r="E61" s="9" t="s">
        <v>470</v>
      </c>
      <c r="F61" s="24">
        <v>20317</v>
      </c>
      <c r="G61" s="24">
        <v>11639</v>
      </c>
      <c r="H61" s="24">
        <v>20317</v>
      </c>
      <c r="I61" s="25">
        <v>4.9000000000000004</v>
      </c>
      <c r="J61" s="25">
        <v>9.6999999999999993</v>
      </c>
      <c r="K61" s="26">
        <v>1.2999999999999999E-2</v>
      </c>
      <c r="L61" s="26">
        <v>3.0000000000000001E-3</v>
      </c>
      <c r="M61" s="24">
        <v>219</v>
      </c>
      <c r="N61" s="28" t="s">
        <v>344</v>
      </c>
      <c r="O61" s="28" t="s">
        <v>345</v>
      </c>
      <c r="P61" s="28" t="s">
        <v>344</v>
      </c>
      <c r="Q61" s="28" t="s">
        <v>345</v>
      </c>
      <c r="R61" s="29">
        <f>LN(F61+1)/LN(MAX($F$10:$F$511)+1)*100</f>
        <v>100</v>
      </c>
      <c r="S61" s="29">
        <f>IF(H61=0,0,(K61*0.5+L61*0.5)*100)</f>
        <v>0.8</v>
      </c>
      <c r="T61" s="29">
        <f>IF(M61="",0,MIN(100,M61/MAX($M$10:$M$511)*100))</f>
        <v>2.9258517034068134</v>
      </c>
      <c r="U61" s="29">
        <f>MIN(100,IF(O61="Yes",50,0)+IF(N61="Yes",30,0)+IF(P61="Yes",20,0))</f>
        <v>50</v>
      </c>
      <c r="V61" s="30">
        <f>ROUND(U61*$C$3+S61*$C$4+T61*$C$5+R61*$C$6,1)</f>
        <v>33.4</v>
      </c>
      <c r="W61" s="9"/>
    </row>
    <row r="62" spans="1:23" ht="32.25" customHeight="1" x14ac:dyDescent="0.2">
      <c r="A62" s="23">
        <v>91</v>
      </c>
      <c r="B62" s="9" t="s">
        <v>292</v>
      </c>
      <c r="C62" s="9" t="s">
        <v>521</v>
      </c>
      <c r="D62" s="9" t="s">
        <v>522</v>
      </c>
      <c r="E62" s="9" t="s">
        <v>357</v>
      </c>
      <c r="F62" s="24">
        <v>1</v>
      </c>
      <c r="G62" s="24">
        <v>24</v>
      </c>
      <c r="H62" s="24">
        <v>1</v>
      </c>
      <c r="I62" s="25">
        <v>336</v>
      </c>
      <c r="J62" s="25">
        <v>336</v>
      </c>
      <c r="K62" s="26">
        <v>1</v>
      </c>
      <c r="L62" s="26">
        <v>1</v>
      </c>
      <c r="M62" s="24">
        <v>23</v>
      </c>
      <c r="N62" s="28" t="s">
        <v>345</v>
      </c>
      <c r="O62" s="28" t="s">
        <v>345</v>
      </c>
      <c r="P62" s="28" t="s">
        <v>344</v>
      </c>
      <c r="Q62" s="28" t="s">
        <v>345</v>
      </c>
      <c r="R62" s="29">
        <f>LN(F62+1)/LN(MAX($F$10:$F$511)+1)*100</f>
        <v>6.987890304757113</v>
      </c>
      <c r="S62" s="29">
        <f>IF(H62=0,0,(K62*0.5+L62*0.5)*100)</f>
        <v>100</v>
      </c>
      <c r="T62" s="29">
        <f>IF(M62="",0,MIN(100,M62/MAX($M$10:$M$511)*100))</f>
        <v>0.30728122912491651</v>
      </c>
      <c r="U62" s="29">
        <f>MIN(100,IF(O62="Yes",50,0)+IF(N62="Yes",30,0)+IF(P62="Yes",20,0))</f>
        <v>20</v>
      </c>
      <c r="V62" s="30">
        <f>ROUND(U62*$C$3+S62*$C$4+T62*$C$5+R62*$C$6,1)</f>
        <v>33.1</v>
      </c>
      <c r="W62" s="9" t="s">
        <v>388</v>
      </c>
    </row>
    <row r="63" spans="1:23" ht="42.75" customHeight="1" x14ac:dyDescent="0.2">
      <c r="A63" s="23">
        <v>92</v>
      </c>
      <c r="B63" s="9" t="s">
        <v>280</v>
      </c>
      <c r="C63" s="9" t="s">
        <v>492</v>
      </c>
      <c r="D63" s="9" t="s">
        <v>523</v>
      </c>
      <c r="E63" s="9" t="s">
        <v>489</v>
      </c>
      <c r="F63" s="24">
        <v>1</v>
      </c>
      <c r="G63" s="24">
        <v>37</v>
      </c>
      <c r="H63" s="24">
        <v>1</v>
      </c>
      <c r="I63" s="25">
        <v>546.70000000000005</v>
      </c>
      <c r="J63" s="25">
        <v>546.70000000000005</v>
      </c>
      <c r="K63" s="26">
        <v>1</v>
      </c>
      <c r="L63" s="26">
        <v>1</v>
      </c>
      <c r="M63" s="24">
        <v>17</v>
      </c>
      <c r="N63" s="28" t="s">
        <v>345</v>
      </c>
      <c r="O63" s="28" t="s">
        <v>345</v>
      </c>
      <c r="P63" s="28" t="s">
        <v>344</v>
      </c>
      <c r="Q63" s="28" t="s">
        <v>345</v>
      </c>
      <c r="R63" s="29">
        <f>LN(F63+1)/LN(MAX($F$10:$F$511)+1)*100</f>
        <v>6.987890304757113</v>
      </c>
      <c r="S63" s="29">
        <f>IF(H63=0,0,(K63*0.5+L63*0.5)*100)</f>
        <v>100</v>
      </c>
      <c r="T63" s="29">
        <f>IF(M63="",0,MIN(100,M63/MAX($M$10:$M$511)*100))</f>
        <v>0.22712090848363395</v>
      </c>
      <c r="U63" s="29">
        <f>MIN(100,IF(O63="Yes",50,0)+IF(N63="Yes",30,0)+IF(P63="Yes",20,0))</f>
        <v>20</v>
      </c>
      <c r="V63" s="30">
        <f>ROUND(U63*$C$3+S63*$C$4+T63*$C$5+R63*$C$6,1)</f>
        <v>33.1</v>
      </c>
      <c r="W63" s="9" t="s">
        <v>388</v>
      </c>
    </row>
    <row r="64" spans="1:23" ht="21.75" customHeight="1" x14ac:dyDescent="0.2">
      <c r="A64" s="23">
        <v>93</v>
      </c>
      <c r="B64" s="9" t="s">
        <v>280</v>
      </c>
      <c r="C64" s="9" t="s">
        <v>492</v>
      </c>
      <c r="D64" s="9" t="s">
        <v>524</v>
      </c>
      <c r="E64" s="9" t="s">
        <v>424</v>
      </c>
      <c r="F64" s="24">
        <v>1</v>
      </c>
      <c r="G64" s="24">
        <v>37</v>
      </c>
      <c r="H64" s="24">
        <v>1</v>
      </c>
      <c r="I64" s="25">
        <v>406.6</v>
      </c>
      <c r="J64" s="25">
        <v>406.6</v>
      </c>
      <c r="K64" s="26">
        <v>1</v>
      </c>
      <c r="L64" s="26">
        <v>1</v>
      </c>
      <c r="M64" s="24">
        <v>17</v>
      </c>
      <c r="N64" s="28" t="s">
        <v>345</v>
      </c>
      <c r="O64" s="28" t="s">
        <v>345</v>
      </c>
      <c r="P64" s="28" t="s">
        <v>344</v>
      </c>
      <c r="Q64" s="28" t="s">
        <v>345</v>
      </c>
      <c r="R64" s="29">
        <f>LN(F64+1)/LN(MAX($F$10:$F$511)+1)*100</f>
        <v>6.987890304757113</v>
      </c>
      <c r="S64" s="29">
        <f>IF(H64=0,0,(K64*0.5+L64*0.5)*100)</f>
        <v>100</v>
      </c>
      <c r="T64" s="29">
        <f>IF(M64="",0,MIN(100,M64/MAX($M$10:$M$511)*100))</f>
        <v>0.22712090848363395</v>
      </c>
      <c r="U64" s="29">
        <f>MIN(100,IF(O64="Yes",50,0)+IF(N64="Yes",30,0)+IF(P64="Yes",20,0))</f>
        <v>20</v>
      </c>
      <c r="V64" s="30">
        <f>ROUND(U64*$C$3+S64*$C$4+T64*$C$5+R64*$C$6,1)</f>
        <v>33.1</v>
      </c>
      <c r="W64" s="9" t="s">
        <v>388</v>
      </c>
    </row>
    <row r="65" spans="1:23" ht="42.75" customHeight="1" x14ac:dyDescent="0.2">
      <c r="A65" s="23">
        <v>94</v>
      </c>
      <c r="B65" s="9" t="s">
        <v>280</v>
      </c>
      <c r="C65" s="9" t="s">
        <v>504</v>
      </c>
      <c r="D65" s="9" t="s">
        <v>420</v>
      </c>
      <c r="E65" s="9" t="s">
        <v>489</v>
      </c>
      <c r="F65" s="24">
        <v>1</v>
      </c>
      <c r="G65" s="24">
        <v>5</v>
      </c>
      <c r="H65" s="24">
        <v>1</v>
      </c>
      <c r="I65" s="25">
        <v>666.1</v>
      </c>
      <c r="J65" s="25">
        <v>666.1</v>
      </c>
      <c r="K65" s="26">
        <v>1</v>
      </c>
      <c r="L65" s="26">
        <v>1</v>
      </c>
      <c r="M65" s="24">
        <v>14</v>
      </c>
      <c r="N65" s="28" t="s">
        <v>345</v>
      </c>
      <c r="O65" s="28" t="s">
        <v>345</v>
      </c>
      <c r="P65" s="28" t="s">
        <v>344</v>
      </c>
      <c r="Q65" s="28" t="s">
        <v>345</v>
      </c>
      <c r="R65" s="29">
        <f>LN(F65+1)/LN(MAX($F$10:$F$511)+1)*100</f>
        <v>6.987890304757113</v>
      </c>
      <c r="S65" s="29">
        <f>IF(H65=0,0,(K65*0.5+L65*0.5)*100)</f>
        <v>100</v>
      </c>
      <c r="T65" s="29">
        <f>IF(M65="",0,MIN(100,M65/MAX($M$10:$M$511)*100))</f>
        <v>0.18704074816299265</v>
      </c>
      <c r="U65" s="29">
        <f>MIN(100,IF(O65="Yes",50,0)+IF(N65="Yes",30,0)+IF(P65="Yes",20,0))</f>
        <v>20</v>
      </c>
      <c r="V65" s="30">
        <f>ROUND(U65*$C$3+S65*$C$4+T65*$C$5+R65*$C$6,1)</f>
        <v>33.1</v>
      </c>
      <c r="W65" s="9" t="s">
        <v>388</v>
      </c>
    </row>
    <row r="66" spans="1:23" ht="21.75" customHeight="1" x14ac:dyDescent="0.2">
      <c r="A66" s="23">
        <v>95</v>
      </c>
      <c r="B66" s="9" t="s">
        <v>384</v>
      </c>
      <c r="C66" s="9" t="s">
        <v>525</v>
      </c>
      <c r="D66" s="9" t="s">
        <v>526</v>
      </c>
      <c r="E66" s="9" t="s">
        <v>501</v>
      </c>
      <c r="F66" s="24">
        <v>1</v>
      </c>
      <c r="G66" s="24">
        <v>6</v>
      </c>
      <c r="H66" s="24">
        <v>1</v>
      </c>
      <c r="I66" s="25">
        <v>313.7</v>
      </c>
      <c r="J66" s="25">
        <v>313.7</v>
      </c>
      <c r="K66" s="26">
        <v>1</v>
      </c>
      <c r="L66" s="26">
        <v>1</v>
      </c>
      <c r="M66" s="24">
        <v>8</v>
      </c>
      <c r="N66" s="28" t="s">
        <v>345</v>
      </c>
      <c r="O66" s="28" t="s">
        <v>345</v>
      </c>
      <c r="P66" s="28" t="s">
        <v>344</v>
      </c>
      <c r="Q66" s="28" t="s">
        <v>345</v>
      </c>
      <c r="R66" s="29">
        <f>LN(F66+1)/LN(MAX($F$10:$F$511)+1)*100</f>
        <v>6.987890304757113</v>
      </c>
      <c r="S66" s="29">
        <f>IF(H66=0,0,(K66*0.5+L66*0.5)*100)</f>
        <v>100</v>
      </c>
      <c r="T66" s="29">
        <f>IF(M66="",0,MIN(100,M66/MAX($M$10:$M$511)*100))</f>
        <v>0.10688042752171009</v>
      </c>
      <c r="U66" s="29">
        <f>MIN(100,IF(O66="Yes",50,0)+IF(N66="Yes",30,0)+IF(P66="Yes",20,0))</f>
        <v>20</v>
      </c>
      <c r="V66" s="30">
        <f>ROUND(U66*$C$3+S66*$C$4+T66*$C$5+R66*$C$6,1)</f>
        <v>33.1</v>
      </c>
      <c r="W66" s="9" t="s">
        <v>388</v>
      </c>
    </row>
    <row r="67" spans="1:23" ht="21.75" customHeight="1" x14ac:dyDescent="0.2">
      <c r="A67" s="23">
        <v>4</v>
      </c>
      <c r="B67" s="9" t="s">
        <v>292</v>
      </c>
      <c r="C67" s="9" t="s">
        <v>356</v>
      </c>
      <c r="D67" s="9"/>
      <c r="E67" s="9" t="s">
        <v>357</v>
      </c>
      <c r="F67" s="24">
        <v>1</v>
      </c>
      <c r="G67" s="27"/>
      <c r="H67" s="24">
        <v>1</v>
      </c>
      <c r="I67" s="25">
        <v>654.70000000000005</v>
      </c>
      <c r="J67" s="25">
        <v>654.70000000000005</v>
      </c>
      <c r="K67" s="26">
        <v>1</v>
      </c>
      <c r="L67" s="26">
        <v>1</v>
      </c>
      <c r="M67" s="27"/>
      <c r="N67" s="28" t="s">
        <v>345</v>
      </c>
      <c r="O67" s="28" t="s">
        <v>345</v>
      </c>
      <c r="P67" s="28" t="s">
        <v>344</v>
      </c>
      <c r="Q67" s="28" t="s">
        <v>345</v>
      </c>
      <c r="R67" s="29">
        <f>LN(F67+1)/LN(MAX($F$10:$F$511)+1)*100</f>
        <v>6.987890304757113</v>
      </c>
      <c r="S67" s="29">
        <f>IF(H67=0,0,(K67*0.5+L67*0.5)*100)</f>
        <v>100</v>
      </c>
      <c r="T67" s="29">
        <f>IF(M67="",0,MIN(100,M67/MAX($M$10:$M$511)*100))</f>
        <v>0</v>
      </c>
      <c r="U67" s="29">
        <f>MIN(100,IF(O67="Yes",50,0)+IF(N67="Yes",30,0)+IF(P67="Yes",20,0))</f>
        <v>20</v>
      </c>
      <c r="V67" s="30">
        <f>ROUND(U67*$C$3+S67*$C$4+T67*$C$5+R67*$C$6,1)</f>
        <v>33</v>
      </c>
      <c r="W67" s="9" t="s">
        <v>358</v>
      </c>
    </row>
    <row r="68" spans="1:23" ht="21.75" customHeight="1" x14ac:dyDescent="0.2">
      <c r="A68" s="23">
        <v>96</v>
      </c>
      <c r="B68" s="9" t="s">
        <v>384</v>
      </c>
      <c r="C68" s="9" t="s">
        <v>527</v>
      </c>
      <c r="D68" s="9" t="s">
        <v>528</v>
      </c>
      <c r="E68" s="9" t="s">
        <v>415</v>
      </c>
      <c r="F68" s="24">
        <v>10</v>
      </c>
      <c r="G68" s="24">
        <v>80</v>
      </c>
      <c r="H68" s="24">
        <v>10</v>
      </c>
      <c r="I68" s="25">
        <v>120.9</v>
      </c>
      <c r="J68" s="25">
        <v>126.3</v>
      </c>
      <c r="K68" s="26">
        <v>0.8</v>
      </c>
      <c r="L68" s="26">
        <v>0.1</v>
      </c>
      <c r="M68" s="24">
        <v>165</v>
      </c>
      <c r="N68" s="28" t="s">
        <v>344</v>
      </c>
      <c r="O68" s="28" t="s">
        <v>345</v>
      </c>
      <c r="P68" s="28" t="s">
        <v>344</v>
      </c>
      <c r="Q68" s="28" t="s">
        <v>345</v>
      </c>
      <c r="R68" s="29">
        <f>LN(F68+1)/LN(MAX($F$10:$F$511)+1)*100</f>
        <v>24.174128667845775</v>
      </c>
      <c r="S68" s="29">
        <f>IF(H68=0,0,(K68*0.5+L68*0.5)*100)</f>
        <v>45</v>
      </c>
      <c r="T68" s="29">
        <f>IF(M68="",0,MIN(100,M68/MAX($M$10:$M$511)*100))</f>
        <v>2.2044088176352705</v>
      </c>
      <c r="U68" s="29">
        <f>MIN(100,IF(O68="Yes",50,0)+IF(N68="Yes",30,0)+IF(P68="Yes",20,0))</f>
        <v>50</v>
      </c>
      <c r="V68" s="30">
        <f>ROUND(U68*$C$3+S68*$C$4+T68*$C$5+R68*$C$6,1)</f>
        <v>32.9</v>
      </c>
      <c r="W68" s="9" t="s">
        <v>396</v>
      </c>
    </row>
    <row r="69" spans="1:23" ht="21.75" customHeight="1" x14ac:dyDescent="0.2">
      <c r="A69" s="23">
        <v>98</v>
      </c>
      <c r="B69" s="9" t="s">
        <v>280</v>
      </c>
      <c r="C69" s="9" t="s">
        <v>492</v>
      </c>
      <c r="D69" s="9" t="s">
        <v>532</v>
      </c>
      <c r="E69" s="9" t="s">
        <v>456</v>
      </c>
      <c r="F69" s="24">
        <v>5</v>
      </c>
      <c r="G69" s="24">
        <v>37</v>
      </c>
      <c r="H69" s="24">
        <v>5</v>
      </c>
      <c r="I69" s="25">
        <v>140.69999999999999</v>
      </c>
      <c r="J69" s="25">
        <v>168.4</v>
      </c>
      <c r="K69" s="26">
        <v>0.6</v>
      </c>
      <c r="L69" s="26">
        <v>0.4</v>
      </c>
      <c r="M69" s="24">
        <v>17</v>
      </c>
      <c r="N69" s="28" t="s">
        <v>344</v>
      </c>
      <c r="O69" s="28" t="s">
        <v>345</v>
      </c>
      <c r="P69" s="28" t="s">
        <v>344</v>
      </c>
      <c r="Q69" s="28" t="s">
        <v>345</v>
      </c>
      <c r="R69" s="29">
        <f>LN(F69+1)/LN(MAX($F$10:$F$511)+1)*100</f>
        <v>18.063434396950068</v>
      </c>
      <c r="S69" s="29">
        <f>IF(H69=0,0,(K69*0.5+L69*0.5)*100)</f>
        <v>50</v>
      </c>
      <c r="T69" s="29">
        <f>IF(M69="",0,MIN(100,M69/MAX($M$10:$M$511)*100))</f>
        <v>0.22712090848363395</v>
      </c>
      <c r="U69" s="29">
        <f>MIN(100,IF(O69="Yes",50,0)+IF(N69="Yes",30,0)+IF(P69="Yes",20,0))</f>
        <v>50</v>
      </c>
      <c r="V69" s="30">
        <f>ROUND(U69*$C$3+S69*$C$4+T69*$C$5+R69*$C$6,1)</f>
        <v>32.799999999999997</v>
      </c>
      <c r="W69" s="9" t="s">
        <v>388</v>
      </c>
    </row>
    <row r="70" spans="1:23" ht="15" customHeight="1" x14ac:dyDescent="0.2">
      <c r="A70" s="23">
        <v>5</v>
      </c>
      <c r="B70" s="9" t="s">
        <v>280</v>
      </c>
      <c r="C70" s="9" t="s">
        <v>341</v>
      </c>
      <c r="D70" s="9" t="s">
        <v>359</v>
      </c>
      <c r="E70" s="9" t="s">
        <v>343</v>
      </c>
      <c r="F70" s="24">
        <v>5</v>
      </c>
      <c r="G70" s="24">
        <v>50</v>
      </c>
      <c r="H70" s="24">
        <v>5</v>
      </c>
      <c r="I70" s="25">
        <v>95.3</v>
      </c>
      <c r="J70" s="25">
        <v>129.9</v>
      </c>
      <c r="K70" s="26">
        <v>0.8</v>
      </c>
      <c r="L70" s="26">
        <v>0.2</v>
      </c>
      <c r="M70" s="27"/>
      <c r="N70" s="28" t="s">
        <v>344</v>
      </c>
      <c r="O70" s="28" t="s">
        <v>345</v>
      </c>
      <c r="P70" s="28" t="s">
        <v>344</v>
      </c>
      <c r="Q70" s="28" t="s">
        <v>345</v>
      </c>
      <c r="R70" s="29">
        <f>LN(F70+1)/LN(MAX($F$10:$F$511)+1)*100</f>
        <v>18.063434396950068</v>
      </c>
      <c r="S70" s="29">
        <f>IF(H70=0,0,(K70*0.5+L70*0.5)*100)</f>
        <v>50</v>
      </c>
      <c r="T70" s="29">
        <f>IF(M70="",0,MIN(100,M70/MAX($M$10:$M$511)*100))</f>
        <v>0</v>
      </c>
      <c r="U70" s="29">
        <f>MIN(100,IF(O70="Yes",50,0)+IF(N70="Yes",30,0)+IF(P70="Yes",20,0))</f>
        <v>50</v>
      </c>
      <c r="V70" s="30">
        <f>ROUND(U70*$C$3+S70*$C$4+T70*$C$5+R70*$C$6,1)</f>
        <v>32.700000000000003</v>
      </c>
      <c r="W70" s="9" t="s">
        <v>346</v>
      </c>
    </row>
    <row r="71" spans="1:23" ht="42.75" customHeight="1" x14ac:dyDescent="0.2">
      <c r="A71" s="23">
        <v>104</v>
      </c>
      <c r="B71" s="9" t="s">
        <v>384</v>
      </c>
      <c r="C71" s="9" t="s">
        <v>545</v>
      </c>
      <c r="D71" s="9" t="s">
        <v>546</v>
      </c>
      <c r="E71" s="9" t="s">
        <v>387</v>
      </c>
      <c r="F71" s="24">
        <v>5</v>
      </c>
      <c r="G71" s="24">
        <v>9</v>
      </c>
      <c r="H71" s="24">
        <v>5</v>
      </c>
      <c r="I71" s="25">
        <v>288.89999999999998</v>
      </c>
      <c r="J71" s="25">
        <v>283</v>
      </c>
      <c r="K71" s="26">
        <v>1</v>
      </c>
      <c r="L71" s="26">
        <v>0.8</v>
      </c>
      <c r="M71" s="24">
        <v>60</v>
      </c>
      <c r="N71" s="28" t="s">
        <v>345</v>
      </c>
      <c r="O71" s="28" t="s">
        <v>345</v>
      </c>
      <c r="P71" s="28" t="s">
        <v>344</v>
      </c>
      <c r="Q71" s="28" t="s">
        <v>344</v>
      </c>
      <c r="R71" s="29">
        <f>LN(F71+1)/LN(MAX($F$10:$F$511)+1)*100</f>
        <v>18.063434396950068</v>
      </c>
      <c r="S71" s="29">
        <f>IF(H71=0,0,(K71*0.5+L71*0.5)*100)</f>
        <v>90</v>
      </c>
      <c r="T71" s="29">
        <f>IF(M71="",0,MIN(100,M71/MAX($M$10:$M$511)*100))</f>
        <v>0.80160320641282556</v>
      </c>
      <c r="U71" s="29">
        <f>MIN(100,IF(O71="Yes",50,0)+IF(N71="Yes",30,0)+IF(P71="Yes",20,0))</f>
        <v>20</v>
      </c>
      <c r="V71" s="30">
        <f>ROUND(U71*$C$3+S71*$C$4+T71*$C$5+R71*$C$6,1)</f>
        <v>32.4</v>
      </c>
      <c r="W71" s="9" t="s">
        <v>388</v>
      </c>
    </row>
    <row r="72" spans="1:23" ht="21.75" customHeight="1" x14ac:dyDescent="0.2">
      <c r="A72" s="23">
        <v>6</v>
      </c>
      <c r="B72" s="9" t="s">
        <v>360</v>
      </c>
      <c r="C72" s="9" t="s">
        <v>361</v>
      </c>
      <c r="D72" s="9" t="s">
        <v>362</v>
      </c>
      <c r="E72" s="9" t="s">
        <v>363</v>
      </c>
      <c r="F72" s="24">
        <v>3</v>
      </c>
      <c r="G72" s="24">
        <v>11</v>
      </c>
      <c r="H72" s="24">
        <v>3</v>
      </c>
      <c r="I72" s="25">
        <v>91.9</v>
      </c>
      <c r="J72" s="25">
        <v>144.19999999999999</v>
      </c>
      <c r="K72" s="26">
        <v>0.66700000000000004</v>
      </c>
      <c r="L72" s="26">
        <v>0.33300000000000002</v>
      </c>
      <c r="M72" s="27"/>
      <c r="N72" s="28" t="s">
        <v>344</v>
      </c>
      <c r="O72" s="28" t="s">
        <v>345</v>
      </c>
      <c r="P72" s="28" t="s">
        <v>344</v>
      </c>
      <c r="Q72" s="28" t="s">
        <v>345</v>
      </c>
      <c r="R72" s="29">
        <f>LN(F72+1)/LN(MAX($F$10:$F$511)+1)*100</f>
        <v>13.975780609514226</v>
      </c>
      <c r="S72" s="29">
        <f>IF(H72=0,0,(K72*0.5+L72*0.5)*100)</f>
        <v>50</v>
      </c>
      <c r="T72" s="29">
        <f>IF(M72="",0,MIN(100,M72/MAX($M$10:$M$511)*100))</f>
        <v>0</v>
      </c>
      <c r="U72" s="29">
        <f>MIN(100,IF(O72="Yes",50,0)+IF(N72="Yes",30,0)+IF(P72="Yes",20,0))</f>
        <v>50</v>
      </c>
      <c r="V72" s="30">
        <f>ROUND(U72*$C$3+S72*$C$4+T72*$C$5+R72*$C$6,1)</f>
        <v>32.1</v>
      </c>
      <c r="W72" s="9" t="s">
        <v>346</v>
      </c>
    </row>
    <row r="73" spans="1:23" ht="21.75" customHeight="1" x14ac:dyDescent="0.2">
      <c r="A73" s="23">
        <v>7</v>
      </c>
      <c r="B73" s="9" t="s">
        <v>280</v>
      </c>
      <c r="C73" s="9" t="s">
        <v>341</v>
      </c>
      <c r="D73" s="9" t="s">
        <v>364</v>
      </c>
      <c r="E73" s="9" t="s">
        <v>343</v>
      </c>
      <c r="F73" s="24">
        <v>2</v>
      </c>
      <c r="G73" s="24">
        <v>50</v>
      </c>
      <c r="H73" s="24">
        <v>2</v>
      </c>
      <c r="I73" s="25">
        <v>104.9</v>
      </c>
      <c r="J73" s="25">
        <v>104.9</v>
      </c>
      <c r="K73" s="26">
        <v>1</v>
      </c>
      <c r="L73" s="26">
        <v>0</v>
      </c>
      <c r="M73" s="27"/>
      <c r="N73" s="28" t="s">
        <v>344</v>
      </c>
      <c r="O73" s="28" t="s">
        <v>345</v>
      </c>
      <c r="P73" s="28" t="s">
        <v>344</v>
      </c>
      <c r="Q73" s="28" t="s">
        <v>345</v>
      </c>
      <c r="R73" s="29">
        <f>LN(F73+1)/LN(MAX($F$10:$F$511)+1)*100</f>
        <v>11.075544092192956</v>
      </c>
      <c r="S73" s="29">
        <f>IF(H73=0,0,(K73*0.5+L73*0.5)*100)</f>
        <v>50</v>
      </c>
      <c r="T73" s="29">
        <f>IF(M73="",0,MIN(100,M73/MAX($M$10:$M$511)*100))</f>
        <v>0</v>
      </c>
      <c r="U73" s="29">
        <f>MIN(100,IF(O73="Yes",50,0)+IF(N73="Yes",30,0)+IF(P73="Yes",20,0))</f>
        <v>50</v>
      </c>
      <c r="V73" s="30">
        <f>ROUND(U73*$C$3+S73*$C$4+T73*$C$5+R73*$C$6,1)</f>
        <v>31.7</v>
      </c>
      <c r="W73" s="9" t="s">
        <v>346</v>
      </c>
    </row>
    <row r="74" spans="1:23" ht="15" customHeight="1" x14ac:dyDescent="0.2">
      <c r="A74" s="23">
        <v>107</v>
      </c>
      <c r="B74" s="9" t="s">
        <v>372</v>
      </c>
      <c r="C74" s="9" t="s">
        <v>468</v>
      </c>
      <c r="D74" s="9" t="s">
        <v>551</v>
      </c>
      <c r="E74" s="9" t="s">
        <v>470</v>
      </c>
      <c r="F74" s="24">
        <v>7</v>
      </c>
      <c r="G74" s="24">
        <v>16184</v>
      </c>
      <c r="H74" s="24">
        <v>7</v>
      </c>
      <c r="I74" s="25">
        <v>28.8</v>
      </c>
      <c r="J74" s="25">
        <v>48.4</v>
      </c>
      <c r="K74" s="26">
        <v>0.14299999999999999</v>
      </c>
      <c r="L74" s="26">
        <v>0</v>
      </c>
      <c r="M74" s="24">
        <v>2788</v>
      </c>
      <c r="N74" s="28" t="s">
        <v>344</v>
      </c>
      <c r="O74" s="28" t="s">
        <v>345</v>
      </c>
      <c r="P74" s="28" t="s">
        <v>344</v>
      </c>
      <c r="Q74" s="28" t="s">
        <v>345</v>
      </c>
      <c r="R74" s="29">
        <f>LN(F74+1)/LN(MAX($F$10:$F$511)+1)*100</f>
        <v>20.963670914271336</v>
      </c>
      <c r="S74" s="29">
        <f>IF(H74=0,0,(K74*0.5+L74*0.5)*100)</f>
        <v>7.1499999999999995</v>
      </c>
      <c r="T74" s="29">
        <f>IF(M74="",0,MIN(100,M74/MAX($M$10:$M$511)*100))</f>
        <v>37.24782899131597</v>
      </c>
      <c r="U74" s="29">
        <f>MIN(100,IF(O74="Yes",50,0)+IF(N74="Yes",30,0)+IF(P74="Yes",20,0))</f>
        <v>50</v>
      </c>
      <c r="V74" s="30">
        <f>ROUND(U74*$C$3+S74*$C$4+T74*$C$5+R74*$C$6,1)</f>
        <v>31.7</v>
      </c>
      <c r="W74" s="9" t="s">
        <v>388</v>
      </c>
    </row>
    <row r="75" spans="1:23" ht="21.75" customHeight="1" x14ac:dyDescent="0.2">
      <c r="A75" s="23">
        <v>109</v>
      </c>
      <c r="B75" s="9" t="s">
        <v>507</v>
      </c>
      <c r="C75" s="9" t="s">
        <v>554</v>
      </c>
      <c r="D75" s="9"/>
      <c r="E75" s="9" t="s">
        <v>509</v>
      </c>
      <c r="F75" s="24">
        <v>7636</v>
      </c>
      <c r="G75" s="24">
        <v>4100</v>
      </c>
      <c r="H75" s="24">
        <v>7636</v>
      </c>
      <c r="I75" s="25">
        <v>0.9</v>
      </c>
      <c r="J75" s="25">
        <v>1.3</v>
      </c>
      <c r="K75" s="26">
        <v>0</v>
      </c>
      <c r="L75" s="26">
        <v>0</v>
      </c>
      <c r="M75" s="24">
        <v>188</v>
      </c>
      <c r="N75" s="28" t="s">
        <v>344</v>
      </c>
      <c r="O75" s="28" t="s">
        <v>345</v>
      </c>
      <c r="P75" s="28" t="s">
        <v>344</v>
      </c>
      <c r="Q75" s="28" t="s">
        <v>345</v>
      </c>
      <c r="R75" s="29">
        <f>LN(F75+1)/LN(MAX($F$10:$F$511)+1)*100</f>
        <v>90.135331739032083</v>
      </c>
      <c r="S75" s="29">
        <f>IF(H75=0,0,(K75*0.5+L75*0.5)*100)</f>
        <v>0</v>
      </c>
      <c r="T75" s="29">
        <f>IF(M75="",0,MIN(100,M75/MAX($M$10:$M$511)*100))</f>
        <v>2.511690046760187</v>
      </c>
      <c r="U75" s="29">
        <f>MIN(100,IF(O75="Yes",50,0)+IF(N75="Yes",30,0)+IF(P75="Yes",20,0))</f>
        <v>50</v>
      </c>
      <c r="V75" s="30">
        <f>ROUND(U75*$C$3+S75*$C$4+T75*$C$5+R75*$C$6,1)</f>
        <v>31.6</v>
      </c>
      <c r="W75" s="9" t="s">
        <v>427</v>
      </c>
    </row>
    <row r="76" spans="1:23" ht="32.25" customHeight="1" x14ac:dyDescent="0.2">
      <c r="A76" s="23">
        <v>112</v>
      </c>
      <c r="B76" s="9" t="s">
        <v>402</v>
      </c>
      <c r="C76" s="9" t="s">
        <v>559</v>
      </c>
      <c r="D76" s="9" t="s">
        <v>560</v>
      </c>
      <c r="E76" s="9" t="s">
        <v>437</v>
      </c>
      <c r="F76" s="24">
        <v>27</v>
      </c>
      <c r="G76" s="24">
        <v>196</v>
      </c>
      <c r="H76" s="24">
        <v>27</v>
      </c>
      <c r="I76" s="25">
        <v>119.2</v>
      </c>
      <c r="J76" s="25">
        <v>110.6</v>
      </c>
      <c r="K76" s="26">
        <v>0.63</v>
      </c>
      <c r="L76" s="26">
        <v>7.3999999999999996E-2</v>
      </c>
      <c r="M76" s="24">
        <v>35</v>
      </c>
      <c r="N76" s="28" t="s">
        <v>344</v>
      </c>
      <c r="O76" s="28" t="s">
        <v>345</v>
      </c>
      <c r="P76" s="28" t="s">
        <v>344</v>
      </c>
      <c r="Q76" s="28" t="s">
        <v>344</v>
      </c>
      <c r="R76" s="29">
        <f>LN(F76+1)/LN(MAX($F$10:$F$511)+1)*100</f>
        <v>33.593268851372713</v>
      </c>
      <c r="S76" s="29">
        <f>IF(H76=0,0,(K76*0.5+L76*0.5)*100)</f>
        <v>35.199999999999996</v>
      </c>
      <c r="T76" s="29">
        <f>IF(M76="",0,MIN(100,M76/MAX($M$10:$M$511)*100))</f>
        <v>0.46760187040748163</v>
      </c>
      <c r="U76" s="29">
        <f>MIN(100,IF(O76="Yes",50,0)+IF(N76="Yes",30,0)+IF(P76="Yes",20,0))</f>
        <v>50</v>
      </c>
      <c r="V76" s="30">
        <f>ROUND(U76*$C$3+S76*$C$4+T76*$C$5+R76*$C$6,1)</f>
        <v>31.5</v>
      </c>
      <c r="W76" s="9" t="s">
        <v>396</v>
      </c>
    </row>
    <row r="77" spans="1:23" ht="21.75" customHeight="1" x14ac:dyDescent="0.2">
      <c r="A77" s="23">
        <v>115</v>
      </c>
      <c r="B77" s="9" t="s">
        <v>402</v>
      </c>
      <c r="C77" s="9" t="s">
        <v>559</v>
      </c>
      <c r="D77" s="9" t="s">
        <v>566</v>
      </c>
      <c r="E77" s="9" t="s">
        <v>567</v>
      </c>
      <c r="F77" s="24">
        <v>1</v>
      </c>
      <c r="G77" s="24">
        <v>196</v>
      </c>
      <c r="H77" s="24">
        <v>1</v>
      </c>
      <c r="I77" s="25">
        <v>153.30000000000001</v>
      </c>
      <c r="J77" s="25">
        <v>153.30000000000001</v>
      </c>
      <c r="K77" s="26">
        <v>1</v>
      </c>
      <c r="L77" s="26">
        <v>0</v>
      </c>
      <c r="M77" s="24">
        <v>35</v>
      </c>
      <c r="N77" s="28" t="s">
        <v>344</v>
      </c>
      <c r="O77" s="28" t="s">
        <v>345</v>
      </c>
      <c r="P77" s="28" t="s">
        <v>344</v>
      </c>
      <c r="Q77" s="28" t="s">
        <v>344</v>
      </c>
      <c r="R77" s="29">
        <f>LN(F77+1)/LN(MAX($F$10:$F$511)+1)*100</f>
        <v>6.987890304757113</v>
      </c>
      <c r="S77" s="29">
        <f>IF(H77=0,0,(K77*0.5+L77*0.5)*100)</f>
        <v>50</v>
      </c>
      <c r="T77" s="29">
        <f>IF(M77="",0,MIN(100,M77/MAX($M$10:$M$511)*100))</f>
        <v>0.46760187040748163</v>
      </c>
      <c r="U77" s="29">
        <f>MIN(100,IF(O77="Yes",50,0)+IF(N77="Yes",30,0)+IF(P77="Yes",20,0))</f>
        <v>50</v>
      </c>
      <c r="V77" s="30">
        <f>ROUND(U77*$C$3+S77*$C$4+T77*$C$5+R77*$C$6,1)</f>
        <v>31.2</v>
      </c>
      <c r="W77" s="9" t="s">
        <v>388</v>
      </c>
    </row>
    <row r="78" spans="1:23" ht="21.75" customHeight="1" x14ac:dyDescent="0.2">
      <c r="A78" s="23">
        <v>117</v>
      </c>
      <c r="B78" s="9" t="s">
        <v>384</v>
      </c>
      <c r="C78" s="9" t="s">
        <v>571</v>
      </c>
      <c r="D78" s="9" t="s">
        <v>572</v>
      </c>
      <c r="E78" s="9" t="s">
        <v>573</v>
      </c>
      <c r="F78" s="24">
        <v>1</v>
      </c>
      <c r="G78" s="24">
        <v>12</v>
      </c>
      <c r="H78" s="24">
        <v>1</v>
      </c>
      <c r="I78" s="25">
        <v>153.69999999999999</v>
      </c>
      <c r="J78" s="25">
        <v>153.69999999999999</v>
      </c>
      <c r="K78" s="26">
        <v>1</v>
      </c>
      <c r="L78" s="26">
        <v>0</v>
      </c>
      <c r="M78" s="24">
        <v>9</v>
      </c>
      <c r="N78" s="28" t="s">
        <v>344</v>
      </c>
      <c r="O78" s="28" t="s">
        <v>345</v>
      </c>
      <c r="P78" s="28" t="s">
        <v>344</v>
      </c>
      <c r="Q78" s="28" t="s">
        <v>345</v>
      </c>
      <c r="R78" s="29">
        <f>LN(F78+1)/LN(MAX($F$10:$F$511)+1)*100</f>
        <v>6.987890304757113</v>
      </c>
      <c r="S78" s="29">
        <f>IF(H78=0,0,(K78*0.5+L78*0.5)*100)</f>
        <v>50</v>
      </c>
      <c r="T78" s="29">
        <f>IF(M78="",0,MIN(100,M78/MAX($M$10:$M$511)*100))</f>
        <v>0.12024048096192384</v>
      </c>
      <c r="U78" s="29">
        <f>MIN(100,IF(O78="Yes",50,0)+IF(N78="Yes",30,0)+IF(P78="Yes",20,0))</f>
        <v>50</v>
      </c>
      <c r="V78" s="30">
        <f>ROUND(U78*$C$3+S78*$C$4+T78*$C$5+R78*$C$6,1)</f>
        <v>31.1</v>
      </c>
      <c r="W78" s="9" t="s">
        <v>388</v>
      </c>
    </row>
    <row r="79" spans="1:23" ht="21.75" customHeight="1" x14ac:dyDescent="0.2">
      <c r="A79" s="23">
        <v>118</v>
      </c>
      <c r="B79" s="9" t="s">
        <v>280</v>
      </c>
      <c r="C79" s="9" t="s">
        <v>574</v>
      </c>
      <c r="D79" s="9" t="s">
        <v>423</v>
      </c>
      <c r="E79" s="9" t="s">
        <v>488</v>
      </c>
      <c r="F79" s="24">
        <v>1</v>
      </c>
      <c r="G79" s="24">
        <v>13</v>
      </c>
      <c r="H79" s="24">
        <v>1</v>
      </c>
      <c r="I79" s="25">
        <v>95.3</v>
      </c>
      <c r="J79" s="25">
        <v>95.3</v>
      </c>
      <c r="K79" s="26">
        <v>1</v>
      </c>
      <c r="L79" s="26">
        <v>0</v>
      </c>
      <c r="M79" s="24">
        <v>6</v>
      </c>
      <c r="N79" s="28" t="s">
        <v>344</v>
      </c>
      <c r="O79" s="28" t="s">
        <v>345</v>
      </c>
      <c r="P79" s="28" t="s">
        <v>344</v>
      </c>
      <c r="Q79" s="28" t="s">
        <v>345</v>
      </c>
      <c r="R79" s="29">
        <f>LN(F79+1)/LN(MAX($F$10:$F$511)+1)*100</f>
        <v>6.987890304757113</v>
      </c>
      <c r="S79" s="29">
        <f>IF(H79=0,0,(K79*0.5+L79*0.5)*100)</f>
        <v>50</v>
      </c>
      <c r="T79" s="29">
        <f>IF(M79="",0,MIN(100,M79/MAX($M$10:$M$511)*100))</f>
        <v>8.0160320641282562E-2</v>
      </c>
      <c r="U79" s="29">
        <f>MIN(100,IF(O79="Yes",50,0)+IF(N79="Yes",30,0)+IF(P79="Yes",20,0))</f>
        <v>50</v>
      </c>
      <c r="V79" s="30">
        <f>ROUND(U79*$C$3+S79*$C$4+T79*$C$5+R79*$C$6,1)</f>
        <v>31.1</v>
      </c>
      <c r="W79" s="9" t="s">
        <v>388</v>
      </c>
    </row>
    <row r="80" spans="1:23" ht="21.75" customHeight="1" x14ac:dyDescent="0.2">
      <c r="A80" s="23">
        <v>119</v>
      </c>
      <c r="B80" s="9" t="s">
        <v>460</v>
      </c>
      <c r="C80" s="9" t="s">
        <v>575</v>
      </c>
      <c r="D80" s="9" t="s">
        <v>576</v>
      </c>
      <c r="E80" s="9" t="s">
        <v>462</v>
      </c>
      <c r="F80" s="24">
        <v>1</v>
      </c>
      <c r="G80" s="24">
        <v>5</v>
      </c>
      <c r="H80" s="24">
        <v>1</v>
      </c>
      <c r="I80" s="25">
        <v>165.5</v>
      </c>
      <c r="J80" s="25">
        <v>165.5</v>
      </c>
      <c r="K80" s="26">
        <v>1</v>
      </c>
      <c r="L80" s="26">
        <v>0</v>
      </c>
      <c r="M80" s="24">
        <v>4</v>
      </c>
      <c r="N80" s="28" t="s">
        <v>344</v>
      </c>
      <c r="O80" s="28" t="s">
        <v>345</v>
      </c>
      <c r="P80" s="28" t="s">
        <v>344</v>
      </c>
      <c r="Q80" s="28" t="s">
        <v>345</v>
      </c>
      <c r="R80" s="29">
        <f>LN(F80+1)/LN(MAX($F$10:$F$511)+1)*100</f>
        <v>6.987890304757113</v>
      </c>
      <c r="S80" s="29">
        <f>IF(H80=0,0,(K80*0.5+L80*0.5)*100)</f>
        <v>50</v>
      </c>
      <c r="T80" s="29">
        <f>IF(M80="",0,MIN(100,M80/MAX($M$10:$M$511)*100))</f>
        <v>5.3440213760855046E-2</v>
      </c>
      <c r="U80" s="29">
        <f>MIN(100,IF(O80="Yes",50,0)+IF(N80="Yes",30,0)+IF(P80="Yes",20,0))</f>
        <v>50</v>
      </c>
      <c r="V80" s="30">
        <f>ROUND(U80*$C$3+S80*$C$4+T80*$C$5+R80*$C$6,1)</f>
        <v>31.1</v>
      </c>
      <c r="W80" s="9" t="s">
        <v>388</v>
      </c>
    </row>
    <row r="81" spans="1:23" ht="32.25" customHeight="1" x14ac:dyDescent="0.2">
      <c r="A81" s="23">
        <v>120</v>
      </c>
      <c r="B81" s="9" t="s">
        <v>384</v>
      </c>
      <c r="C81" s="9" t="s">
        <v>577</v>
      </c>
      <c r="D81" s="9" t="s">
        <v>195</v>
      </c>
      <c r="E81" s="9" t="s">
        <v>431</v>
      </c>
      <c r="F81" s="24">
        <v>1</v>
      </c>
      <c r="G81" s="24">
        <v>2</v>
      </c>
      <c r="H81" s="24">
        <v>1</v>
      </c>
      <c r="I81" s="25">
        <v>161.5</v>
      </c>
      <c r="J81" s="25">
        <v>161.5</v>
      </c>
      <c r="K81" s="26">
        <v>1</v>
      </c>
      <c r="L81" s="26">
        <v>0</v>
      </c>
      <c r="M81" s="24">
        <v>3</v>
      </c>
      <c r="N81" s="28" t="s">
        <v>344</v>
      </c>
      <c r="O81" s="28" t="s">
        <v>345</v>
      </c>
      <c r="P81" s="28" t="s">
        <v>344</v>
      </c>
      <c r="Q81" s="28" t="s">
        <v>345</v>
      </c>
      <c r="R81" s="29">
        <f>LN(F81+1)/LN(MAX($F$10:$F$511)+1)*100</f>
        <v>6.987890304757113</v>
      </c>
      <c r="S81" s="29">
        <f>IF(H81=0,0,(K81*0.5+L81*0.5)*100)</f>
        <v>50</v>
      </c>
      <c r="T81" s="29">
        <f>IF(M81="",0,MIN(100,M81/MAX($M$10:$M$511)*100))</f>
        <v>4.0080160320641281E-2</v>
      </c>
      <c r="U81" s="29">
        <f>MIN(100,IF(O81="Yes",50,0)+IF(N81="Yes",30,0)+IF(P81="Yes",20,0))</f>
        <v>50</v>
      </c>
      <c r="V81" s="30">
        <f>ROUND(U81*$C$3+S81*$C$4+T81*$C$5+R81*$C$6,1)</f>
        <v>31.1</v>
      </c>
      <c r="W81" s="9" t="s">
        <v>388</v>
      </c>
    </row>
    <row r="82" spans="1:23" ht="32.25" customHeight="1" x14ac:dyDescent="0.2">
      <c r="A82" s="23">
        <v>121</v>
      </c>
      <c r="B82" s="9" t="s">
        <v>280</v>
      </c>
      <c r="C82" s="9" t="s">
        <v>454</v>
      </c>
      <c r="D82" s="9" t="s">
        <v>578</v>
      </c>
      <c r="E82" s="9" t="s">
        <v>488</v>
      </c>
      <c r="F82" s="24">
        <v>1</v>
      </c>
      <c r="G82" s="24">
        <v>26</v>
      </c>
      <c r="H82" s="24">
        <v>1</v>
      </c>
      <c r="I82" s="25">
        <v>125.9</v>
      </c>
      <c r="J82" s="25">
        <v>125.9</v>
      </c>
      <c r="K82" s="26">
        <v>1</v>
      </c>
      <c r="L82" s="26">
        <v>0</v>
      </c>
      <c r="M82" s="24">
        <v>2</v>
      </c>
      <c r="N82" s="28" t="s">
        <v>344</v>
      </c>
      <c r="O82" s="28" t="s">
        <v>345</v>
      </c>
      <c r="P82" s="28" t="s">
        <v>344</v>
      </c>
      <c r="Q82" s="28" t="s">
        <v>345</v>
      </c>
      <c r="R82" s="29">
        <f>LN(F82+1)/LN(MAX($F$10:$F$511)+1)*100</f>
        <v>6.987890304757113</v>
      </c>
      <c r="S82" s="29">
        <f>IF(H82=0,0,(K82*0.5+L82*0.5)*100)</f>
        <v>50</v>
      </c>
      <c r="T82" s="29">
        <f>IF(M82="",0,MIN(100,M82/MAX($M$10:$M$511)*100))</f>
        <v>2.6720106880427523E-2</v>
      </c>
      <c r="U82" s="29">
        <f>MIN(100,IF(O82="Yes",50,0)+IF(N82="Yes",30,0)+IF(P82="Yes",20,0))</f>
        <v>50</v>
      </c>
      <c r="V82" s="30">
        <f>ROUND(U82*$C$3+S82*$C$4+T82*$C$5+R82*$C$6,1)</f>
        <v>31.1</v>
      </c>
      <c r="W82" s="9" t="s">
        <v>388</v>
      </c>
    </row>
    <row r="83" spans="1:23" ht="21.75" customHeight="1" x14ac:dyDescent="0.2">
      <c r="A83" s="23">
        <v>8</v>
      </c>
      <c r="B83" s="9" t="s">
        <v>280</v>
      </c>
      <c r="C83" s="9" t="s">
        <v>341</v>
      </c>
      <c r="D83" s="9" t="s">
        <v>365</v>
      </c>
      <c r="E83" s="9" t="s">
        <v>343</v>
      </c>
      <c r="F83" s="24">
        <v>1</v>
      </c>
      <c r="G83" s="24">
        <v>50</v>
      </c>
      <c r="H83" s="24">
        <v>1</v>
      </c>
      <c r="I83" s="25">
        <v>135.80000000000001</v>
      </c>
      <c r="J83" s="25">
        <v>135.80000000000001</v>
      </c>
      <c r="K83" s="26">
        <v>1</v>
      </c>
      <c r="L83" s="26">
        <v>0</v>
      </c>
      <c r="M83" s="27"/>
      <c r="N83" s="28" t="s">
        <v>344</v>
      </c>
      <c r="O83" s="28" t="s">
        <v>345</v>
      </c>
      <c r="P83" s="28" t="s">
        <v>344</v>
      </c>
      <c r="Q83" s="28" t="s">
        <v>345</v>
      </c>
      <c r="R83" s="29">
        <f>LN(F83+1)/LN(MAX($F$10:$F$511)+1)*100</f>
        <v>6.987890304757113</v>
      </c>
      <c r="S83" s="29">
        <f>IF(H83=0,0,(K83*0.5+L83*0.5)*100)</f>
        <v>50</v>
      </c>
      <c r="T83" s="29">
        <f>IF(M83="",0,MIN(100,M83/MAX($M$10:$M$511)*100))</f>
        <v>0</v>
      </c>
      <c r="U83" s="29">
        <f>MIN(100,IF(O83="Yes",50,0)+IF(N83="Yes",30,0)+IF(P83="Yes",20,0))</f>
        <v>50</v>
      </c>
      <c r="V83" s="30">
        <f>ROUND(U83*$C$3+S83*$C$4+T83*$C$5+R83*$C$6,1)</f>
        <v>31</v>
      </c>
      <c r="W83" s="9" t="s">
        <v>346</v>
      </c>
    </row>
    <row r="84" spans="1:23" ht="15" customHeight="1" x14ac:dyDescent="0.2">
      <c r="A84" s="23">
        <v>122</v>
      </c>
      <c r="B84" s="9" t="s">
        <v>280</v>
      </c>
      <c r="C84" s="9" t="s">
        <v>492</v>
      </c>
      <c r="D84" s="9" t="s">
        <v>455</v>
      </c>
      <c r="E84" s="9" t="s">
        <v>343</v>
      </c>
      <c r="F84" s="24">
        <v>42</v>
      </c>
      <c r="G84" s="24">
        <v>37</v>
      </c>
      <c r="H84" s="24">
        <v>42</v>
      </c>
      <c r="I84" s="25">
        <v>82.3</v>
      </c>
      <c r="J84" s="25">
        <v>118</v>
      </c>
      <c r="K84" s="26">
        <v>0.47599999999999998</v>
      </c>
      <c r="L84" s="26">
        <v>0.14299999999999999</v>
      </c>
      <c r="M84" s="24">
        <v>17</v>
      </c>
      <c r="N84" s="28" t="s">
        <v>344</v>
      </c>
      <c r="O84" s="28" t="s">
        <v>345</v>
      </c>
      <c r="P84" s="28" t="s">
        <v>344</v>
      </c>
      <c r="Q84" s="28" t="s">
        <v>345</v>
      </c>
      <c r="R84" s="29">
        <f>LN(F84+1)/LN(MAX($F$10:$F$511)+1)*100</f>
        <v>37.918142870428021</v>
      </c>
      <c r="S84" s="29">
        <f>IF(H84=0,0,(K84*0.5+L84*0.5)*100)</f>
        <v>30.95</v>
      </c>
      <c r="T84" s="29">
        <f>IF(M84="",0,MIN(100,M84/MAX($M$10:$M$511)*100))</f>
        <v>0.22712090848363395</v>
      </c>
      <c r="U84" s="29">
        <f>MIN(100,IF(O84="Yes",50,0)+IF(N84="Yes",30,0)+IF(P84="Yes",20,0))</f>
        <v>50</v>
      </c>
      <c r="V84" s="30">
        <f>ROUND(U84*$C$3+S84*$C$4+T84*$C$5+R84*$C$6,1)</f>
        <v>31</v>
      </c>
      <c r="W84" s="9"/>
    </row>
    <row r="85" spans="1:23" ht="21.75" customHeight="1" x14ac:dyDescent="0.2">
      <c r="A85" s="23">
        <v>125</v>
      </c>
      <c r="B85" s="9" t="s">
        <v>366</v>
      </c>
      <c r="C85" s="9" t="s">
        <v>582</v>
      </c>
      <c r="D85" s="9"/>
      <c r="E85" s="9" t="s">
        <v>497</v>
      </c>
      <c r="F85" s="24">
        <v>60</v>
      </c>
      <c r="G85" s="24">
        <v>5</v>
      </c>
      <c r="H85" s="24">
        <v>60</v>
      </c>
      <c r="I85" s="25">
        <v>457.2</v>
      </c>
      <c r="J85" s="25">
        <v>397.2</v>
      </c>
      <c r="K85" s="26">
        <v>0.98299999999999998</v>
      </c>
      <c r="L85" s="26">
        <v>0.95</v>
      </c>
      <c r="M85" s="24">
        <v>22</v>
      </c>
      <c r="N85" s="31"/>
      <c r="O85" s="28" t="s">
        <v>345</v>
      </c>
      <c r="P85" s="28"/>
      <c r="Q85" s="28" t="s">
        <v>345</v>
      </c>
      <c r="R85" s="29">
        <f>LN(F85+1)/LN(MAX($F$10:$F$511)+1)*100</f>
        <v>41.443341941216701</v>
      </c>
      <c r="S85" s="29">
        <f>IF(H85=0,0,(K85*0.5+L85*0.5)*100)</f>
        <v>96.649999999999991</v>
      </c>
      <c r="T85" s="29">
        <f>IF(M85="",0,MIN(100,M85/MAX($M$10:$M$511)*100))</f>
        <v>0.29392117568470277</v>
      </c>
      <c r="U85" s="29">
        <f>MIN(100,IF(O85="Yes",50,0)+IF(N85="Yes",30,0)+IF(P85="Yes",20,0))</f>
        <v>0</v>
      </c>
      <c r="V85" s="30">
        <f>ROUND(U85*$C$3+S85*$C$4+T85*$C$5+R85*$C$6,1)</f>
        <v>30.5</v>
      </c>
      <c r="W85" s="9" t="s">
        <v>583</v>
      </c>
    </row>
    <row r="86" spans="1:23" ht="32.25" customHeight="1" x14ac:dyDescent="0.2">
      <c r="A86" s="23">
        <v>126</v>
      </c>
      <c r="B86" s="9" t="s">
        <v>397</v>
      </c>
      <c r="C86" s="9" t="s">
        <v>584</v>
      </c>
      <c r="D86" s="9"/>
      <c r="E86" s="9" t="s">
        <v>400</v>
      </c>
      <c r="F86" s="24">
        <v>77</v>
      </c>
      <c r="G86" s="24">
        <v>55</v>
      </c>
      <c r="H86" s="24">
        <v>2</v>
      </c>
      <c r="I86" s="25">
        <v>79.7</v>
      </c>
      <c r="J86" s="25">
        <v>79.7</v>
      </c>
      <c r="K86" s="26">
        <v>0.5</v>
      </c>
      <c r="L86" s="26">
        <v>0</v>
      </c>
      <c r="M86" s="24">
        <v>3</v>
      </c>
      <c r="N86" s="28" t="s">
        <v>344</v>
      </c>
      <c r="O86" s="28" t="s">
        <v>345</v>
      </c>
      <c r="P86" s="28" t="s">
        <v>344</v>
      </c>
      <c r="Q86" s="28" t="s">
        <v>345</v>
      </c>
      <c r="R86" s="29">
        <f>LN(F86+1)/LN(MAX($F$10:$F$511)+1)*100</f>
        <v>43.921701226686352</v>
      </c>
      <c r="S86" s="29">
        <f>IF(H86=0,0,(K86*0.5+L86*0.5)*100)</f>
        <v>25</v>
      </c>
      <c r="T86" s="29">
        <f>IF(M86="",0,MIN(100,M86/MAX($M$10:$M$511)*100))</f>
        <v>4.0080160320641281E-2</v>
      </c>
      <c r="U86" s="29">
        <f>MIN(100,IF(O86="Yes",50,0)+IF(N86="Yes",30,0)+IF(P86="Yes",20,0))</f>
        <v>50</v>
      </c>
      <c r="V86" s="30">
        <f>ROUND(U86*$C$3+S86*$C$4+T86*$C$5+R86*$C$6,1)</f>
        <v>30.3</v>
      </c>
      <c r="W86" s="9" t="s">
        <v>427</v>
      </c>
    </row>
    <row r="87" spans="1:23" ht="32.25" customHeight="1" x14ac:dyDescent="0.2">
      <c r="A87" s="23">
        <v>127</v>
      </c>
      <c r="B87" s="9" t="s">
        <v>280</v>
      </c>
      <c r="C87" s="9" t="s">
        <v>492</v>
      </c>
      <c r="D87" s="9" t="s">
        <v>389</v>
      </c>
      <c r="E87" s="9" t="s">
        <v>343</v>
      </c>
      <c r="F87" s="24">
        <v>13</v>
      </c>
      <c r="G87" s="24">
        <v>37</v>
      </c>
      <c r="H87" s="24">
        <v>13</v>
      </c>
      <c r="I87" s="25">
        <v>108.4</v>
      </c>
      <c r="J87" s="25">
        <v>108.6</v>
      </c>
      <c r="K87" s="26">
        <v>0.61499999999999999</v>
      </c>
      <c r="L87" s="26">
        <v>7.6999999999999999E-2</v>
      </c>
      <c r="M87" s="24">
        <v>17</v>
      </c>
      <c r="N87" s="28" t="s">
        <v>344</v>
      </c>
      <c r="O87" s="28" t="s">
        <v>345</v>
      </c>
      <c r="P87" s="28" t="s">
        <v>344</v>
      </c>
      <c r="Q87" s="28" t="s">
        <v>345</v>
      </c>
      <c r="R87" s="29">
        <f>LN(F87+1)/LN(MAX($F$10:$F$511)+1)*100</f>
        <v>26.605378546615604</v>
      </c>
      <c r="S87" s="29">
        <f>IF(H87=0,0,(K87*0.5+L87*0.5)*100)</f>
        <v>34.599999999999994</v>
      </c>
      <c r="T87" s="29">
        <f>IF(M87="",0,MIN(100,M87/MAX($M$10:$M$511)*100))</f>
        <v>0.22712090848363395</v>
      </c>
      <c r="U87" s="29">
        <f>MIN(100,IF(O87="Yes",50,0)+IF(N87="Yes",30,0)+IF(P87="Yes",20,0))</f>
        <v>50</v>
      </c>
      <c r="V87" s="30">
        <f>ROUND(U87*$C$3+S87*$C$4+T87*$C$5+R87*$C$6,1)</f>
        <v>30.2</v>
      </c>
      <c r="W87" s="9" t="s">
        <v>396</v>
      </c>
    </row>
    <row r="88" spans="1:23" ht="21.75" customHeight="1" x14ac:dyDescent="0.2">
      <c r="A88" s="23">
        <v>11</v>
      </c>
      <c r="B88" s="9" t="s">
        <v>372</v>
      </c>
      <c r="C88" s="9" t="s">
        <v>373</v>
      </c>
      <c r="D88" s="9"/>
      <c r="E88" s="9" t="s">
        <v>374</v>
      </c>
      <c r="F88" s="24">
        <v>2775</v>
      </c>
      <c r="G88" s="24">
        <v>1417</v>
      </c>
      <c r="H88" s="24">
        <v>2775</v>
      </c>
      <c r="I88" s="25">
        <v>0</v>
      </c>
      <c r="J88" s="25">
        <v>0.8</v>
      </c>
      <c r="K88" s="26">
        <v>4.0000000000000001E-3</v>
      </c>
      <c r="L88" s="26">
        <v>1E-3</v>
      </c>
      <c r="M88" s="27"/>
      <c r="N88" s="28" t="s">
        <v>344</v>
      </c>
      <c r="O88" s="28" t="s">
        <v>345</v>
      </c>
      <c r="P88" s="28" t="s">
        <v>344</v>
      </c>
      <c r="Q88" s="28" t="s">
        <v>345</v>
      </c>
      <c r="R88" s="29">
        <f>LN(F88+1)/LN(MAX($F$10:$F$511)+1)*100</f>
        <v>79.933022684766286</v>
      </c>
      <c r="S88" s="29">
        <f>IF(H88=0,0,(K88*0.5+L88*0.5)*100)</f>
        <v>0.25</v>
      </c>
      <c r="T88" s="29">
        <f>IF(M88="",0,MIN(100,M88/MAX($M$10:$M$511)*100))</f>
        <v>0</v>
      </c>
      <c r="U88" s="29">
        <f>MIN(100,IF(O88="Yes",50,0)+IF(N88="Yes",30,0)+IF(P88="Yes",20,0))</f>
        <v>50</v>
      </c>
      <c r="V88" s="30">
        <f>ROUND(U88*$C$3+S88*$C$4+T88*$C$5+R88*$C$6,1)</f>
        <v>29.6</v>
      </c>
      <c r="W88" s="9" t="s">
        <v>375</v>
      </c>
    </row>
    <row r="89" spans="1:23" ht="21.75" customHeight="1" x14ac:dyDescent="0.2">
      <c r="A89" s="23">
        <v>131</v>
      </c>
      <c r="B89" s="9" t="s">
        <v>372</v>
      </c>
      <c r="C89" s="9" t="s">
        <v>591</v>
      </c>
      <c r="D89" s="9" t="s">
        <v>469</v>
      </c>
      <c r="E89" s="9" t="s">
        <v>470</v>
      </c>
      <c r="F89" s="24">
        <v>1764</v>
      </c>
      <c r="G89" s="24">
        <v>2901</v>
      </c>
      <c r="H89" s="24">
        <v>1764</v>
      </c>
      <c r="I89" s="25">
        <v>11</v>
      </c>
      <c r="J89" s="25">
        <v>21</v>
      </c>
      <c r="K89" s="26">
        <v>3.5000000000000003E-2</v>
      </c>
      <c r="L89" s="26">
        <v>5.0000000000000001E-3</v>
      </c>
      <c r="M89" s="24">
        <v>98</v>
      </c>
      <c r="N89" s="28" t="s">
        <v>344</v>
      </c>
      <c r="O89" s="28" t="s">
        <v>345</v>
      </c>
      <c r="P89" s="28" t="s">
        <v>344</v>
      </c>
      <c r="Q89" s="28" t="s">
        <v>345</v>
      </c>
      <c r="R89" s="29">
        <f>LN(F89+1)/LN(MAX($F$10:$F$511)+1)*100</f>
        <v>75.36755873466376</v>
      </c>
      <c r="S89" s="29">
        <f>IF(H89=0,0,(K89*0.5+L89*0.5)*100)</f>
        <v>2</v>
      </c>
      <c r="T89" s="29">
        <f>IF(M89="",0,MIN(100,M89/MAX($M$10:$M$511)*100))</f>
        <v>1.3092852371409485</v>
      </c>
      <c r="U89" s="29">
        <f>MIN(100,IF(O89="Yes",50,0)+IF(N89="Yes",30,0)+IF(P89="Yes",20,0))</f>
        <v>50</v>
      </c>
      <c r="V89" s="30">
        <f>ROUND(U89*$C$3+S89*$C$4+T89*$C$5+R89*$C$6,1)</f>
        <v>29.6</v>
      </c>
      <c r="W89" s="9"/>
    </row>
    <row r="90" spans="1:23" ht="32.25" customHeight="1" x14ac:dyDescent="0.2">
      <c r="A90" s="23">
        <v>132</v>
      </c>
      <c r="B90" s="9" t="s">
        <v>280</v>
      </c>
      <c r="C90" s="9" t="s">
        <v>454</v>
      </c>
      <c r="D90" s="9" t="s">
        <v>389</v>
      </c>
      <c r="E90" s="9" t="s">
        <v>343</v>
      </c>
      <c r="F90" s="24">
        <v>31</v>
      </c>
      <c r="G90" s="24">
        <v>26</v>
      </c>
      <c r="H90" s="24">
        <v>31</v>
      </c>
      <c r="I90" s="25">
        <v>91</v>
      </c>
      <c r="J90" s="25">
        <v>93.4</v>
      </c>
      <c r="K90" s="26">
        <v>0.51600000000000001</v>
      </c>
      <c r="L90" s="26">
        <v>3.2000000000000001E-2</v>
      </c>
      <c r="M90" s="24">
        <v>2</v>
      </c>
      <c r="N90" s="28" t="s">
        <v>344</v>
      </c>
      <c r="O90" s="28" t="s">
        <v>345</v>
      </c>
      <c r="P90" s="28" t="s">
        <v>344</v>
      </c>
      <c r="Q90" s="28" t="s">
        <v>345</v>
      </c>
      <c r="R90" s="29">
        <f>LN(F90+1)/LN(MAX($F$10:$F$511)+1)*100</f>
        <v>34.939451523785564</v>
      </c>
      <c r="S90" s="29">
        <f>IF(H90=0,0,(K90*0.5+L90*0.5)*100)</f>
        <v>27.400000000000002</v>
      </c>
      <c r="T90" s="29">
        <f>IF(M90="",0,MIN(100,M90/MAX($M$10:$M$511)*100))</f>
        <v>2.6720106880427523E-2</v>
      </c>
      <c r="U90" s="29">
        <f>MIN(100,IF(O90="Yes",50,0)+IF(N90="Yes",30,0)+IF(P90="Yes",20,0))</f>
        <v>50</v>
      </c>
      <c r="V90" s="30">
        <f>ROUND(U90*$C$3+S90*$C$4+T90*$C$5+R90*$C$6,1)</f>
        <v>29.6</v>
      </c>
      <c r="W90" s="9"/>
    </row>
    <row r="91" spans="1:23" ht="21.75" customHeight="1" x14ac:dyDescent="0.2">
      <c r="A91" s="23">
        <v>133</v>
      </c>
      <c r="B91" s="9" t="s">
        <v>402</v>
      </c>
      <c r="C91" s="9" t="s">
        <v>472</v>
      </c>
      <c r="D91" s="9" t="s">
        <v>592</v>
      </c>
      <c r="E91" s="9" t="s">
        <v>405</v>
      </c>
      <c r="F91" s="24">
        <v>55</v>
      </c>
      <c r="G91" s="24">
        <v>2221</v>
      </c>
      <c r="H91" s="24">
        <v>55</v>
      </c>
      <c r="I91" s="25">
        <v>60</v>
      </c>
      <c r="J91" s="25">
        <v>66.599999999999994</v>
      </c>
      <c r="K91" s="26">
        <v>0.2</v>
      </c>
      <c r="L91" s="26">
        <v>3.5999999999999997E-2</v>
      </c>
      <c r="M91" s="24">
        <v>892</v>
      </c>
      <c r="N91" s="28" t="s">
        <v>344</v>
      </c>
      <c r="O91" s="28" t="s">
        <v>345</v>
      </c>
      <c r="P91" s="28" t="s">
        <v>344</v>
      </c>
      <c r="Q91" s="28" t="s">
        <v>344</v>
      </c>
      <c r="R91" s="29">
        <f>LN(F91+1)/LN(MAX($F$10:$F$511)+1)*100</f>
        <v>40.581159156129836</v>
      </c>
      <c r="S91" s="29">
        <f>IF(H91=0,0,(K91*0.5+L91*0.5)*100)</f>
        <v>11.8</v>
      </c>
      <c r="T91" s="29">
        <f>IF(M91="",0,MIN(100,M91/MAX($M$10:$M$511)*100))</f>
        <v>11.917167668670675</v>
      </c>
      <c r="U91" s="29">
        <f>MIN(100,IF(O91="Yes",50,0)+IF(N91="Yes",30,0)+IF(P91="Yes",20,0))</f>
        <v>50</v>
      </c>
      <c r="V91" s="30">
        <f>ROUND(U91*$C$3+S91*$C$4+T91*$C$5+R91*$C$6,1)</f>
        <v>29.5</v>
      </c>
      <c r="W91" s="9" t="s">
        <v>396</v>
      </c>
    </row>
    <row r="92" spans="1:23" ht="42.75" customHeight="1" x14ac:dyDescent="0.2">
      <c r="A92" s="23">
        <v>135</v>
      </c>
      <c r="B92" s="9" t="s">
        <v>384</v>
      </c>
      <c r="C92" s="9" t="s">
        <v>452</v>
      </c>
      <c r="D92" s="9" t="s">
        <v>593</v>
      </c>
      <c r="E92" s="9" t="s">
        <v>415</v>
      </c>
      <c r="F92" s="24">
        <v>4</v>
      </c>
      <c r="G92" s="24">
        <v>10</v>
      </c>
      <c r="H92" s="24">
        <v>4</v>
      </c>
      <c r="I92" s="25">
        <v>68</v>
      </c>
      <c r="J92" s="25">
        <v>116.8</v>
      </c>
      <c r="K92" s="26">
        <v>0.5</v>
      </c>
      <c r="L92" s="26">
        <v>0.25</v>
      </c>
      <c r="M92" s="24">
        <v>24</v>
      </c>
      <c r="N92" s="28" t="s">
        <v>344</v>
      </c>
      <c r="O92" s="28" t="s">
        <v>345</v>
      </c>
      <c r="P92" s="28" t="s">
        <v>344</v>
      </c>
      <c r="Q92" s="28" t="s">
        <v>345</v>
      </c>
      <c r="R92" s="29">
        <f>LN(F92+1)/LN(MAX($F$10:$F$511)+1)*100</f>
        <v>16.225378822606551</v>
      </c>
      <c r="S92" s="29">
        <f>IF(H92=0,0,(K92*0.5+L92*0.5)*100)</f>
        <v>37.5</v>
      </c>
      <c r="T92" s="29">
        <f>IF(M92="",0,MIN(100,M92/MAX($M$10:$M$511)*100))</f>
        <v>0.32064128256513025</v>
      </c>
      <c r="U92" s="29">
        <f>MIN(100,IF(O92="Yes",50,0)+IF(N92="Yes",30,0)+IF(P92="Yes",20,0))</f>
        <v>50</v>
      </c>
      <c r="V92" s="30">
        <f>ROUND(U92*$C$3+S92*$C$4+T92*$C$5+R92*$C$6,1)</f>
        <v>29.4</v>
      </c>
      <c r="W92" s="9" t="s">
        <v>388</v>
      </c>
    </row>
    <row r="93" spans="1:23" ht="21.75" customHeight="1" x14ac:dyDescent="0.2">
      <c r="A93" s="23">
        <v>137</v>
      </c>
      <c r="B93" s="9" t="s">
        <v>372</v>
      </c>
      <c r="C93" s="9" t="s">
        <v>591</v>
      </c>
      <c r="D93" s="9" t="s">
        <v>270</v>
      </c>
      <c r="E93" s="9" t="s">
        <v>470</v>
      </c>
      <c r="F93" s="24">
        <v>2010</v>
      </c>
      <c r="G93" s="24">
        <v>2901</v>
      </c>
      <c r="H93" s="24">
        <v>2010</v>
      </c>
      <c r="I93" s="25">
        <v>5</v>
      </c>
      <c r="J93" s="25">
        <v>6.3</v>
      </c>
      <c r="K93" s="26">
        <v>3.0000000000000001E-3</v>
      </c>
      <c r="L93" s="26">
        <v>0</v>
      </c>
      <c r="M93" s="24">
        <v>98</v>
      </c>
      <c r="N93" s="28" t="s">
        <v>344</v>
      </c>
      <c r="O93" s="28" t="s">
        <v>345</v>
      </c>
      <c r="P93" s="28" t="s">
        <v>344</v>
      </c>
      <c r="Q93" s="28" t="s">
        <v>345</v>
      </c>
      <c r="R93" s="29">
        <f>LN(F93+1)/LN(MAX($F$10:$F$511)+1)*100</f>
        <v>76.682993433343839</v>
      </c>
      <c r="S93" s="29">
        <f>IF(H93=0,0,(K93*0.5+L93*0.5)*100)</f>
        <v>0.15</v>
      </c>
      <c r="T93" s="29">
        <f>IF(M93="",0,MIN(100,M93/MAX($M$10:$M$511)*100))</f>
        <v>1.3092852371409485</v>
      </c>
      <c r="U93" s="29">
        <f>MIN(100,IF(O93="Yes",50,0)+IF(N93="Yes",30,0)+IF(P93="Yes",20,0))</f>
        <v>50</v>
      </c>
      <c r="V93" s="30">
        <f>ROUND(U93*$C$3+S93*$C$4+T93*$C$5+R93*$C$6,1)</f>
        <v>29.4</v>
      </c>
      <c r="W93" s="9"/>
    </row>
    <row r="94" spans="1:23" ht="21.75" customHeight="1" x14ac:dyDescent="0.2">
      <c r="A94" s="23">
        <v>138</v>
      </c>
      <c r="B94" s="9" t="s">
        <v>366</v>
      </c>
      <c r="C94" s="9" t="s">
        <v>367</v>
      </c>
      <c r="D94" s="9" t="s">
        <v>596</v>
      </c>
      <c r="E94" s="9" t="s">
        <v>369</v>
      </c>
      <c r="F94" s="24">
        <v>2</v>
      </c>
      <c r="G94" s="24">
        <v>2132</v>
      </c>
      <c r="H94" s="24">
        <v>2</v>
      </c>
      <c r="I94" s="25">
        <v>7</v>
      </c>
      <c r="J94" s="25">
        <v>7</v>
      </c>
      <c r="K94" s="26">
        <v>0</v>
      </c>
      <c r="L94" s="26">
        <v>0</v>
      </c>
      <c r="M94" s="24">
        <v>3027</v>
      </c>
      <c r="N94" s="31"/>
      <c r="O94" s="32" t="s">
        <v>344</v>
      </c>
      <c r="P94" s="28"/>
      <c r="Q94" s="28" t="s">
        <v>345</v>
      </c>
      <c r="R94" s="29">
        <f>LN(F94+1)/LN(MAX($F$10:$F$511)+1)*100</f>
        <v>11.075544092192956</v>
      </c>
      <c r="S94" s="29">
        <f>IF(H94=0,0,(K94*0.5+L94*0.5)*100)</f>
        <v>0</v>
      </c>
      <c r="T94" s="29">
        <f>IF(M94="",0,MIN(100,M94/MAX($M$10:$M$511)*100))</f>
        <v>40.440881763527052</v>
      </c>
      <c r="U94" s="29">
        <f>MIN(100,IF(O94="Yes",50,0)+IF(N94="Yes",30,0)+IF(P94="Yes",20,0))</f>
        <v>50</v>
      </c>
      <c r="V94" s="30">
        <f>ROUND(U94*$C$3+S94*$C$4+T94*$C$5+R94*$C$6,1)</f>
        <v>29.3</v>
      </c>
      <c r="W94" s="9" t="s">
        <v>597</v>
      </c>
    </row>
    <row r="95" spans="1:23" ht="32.25" customHeight="1" x14ac:dyDescent="0.2">
      <c r="A95" s="23">
        <v>140</v>
      </c>
      <c r="B95" s="9" t="s">
        <v>402</v>
      </c>
      <c r="C95" s="9" t="s">
        <v>473</v>
      </c>
      <c r="D95" s="9" t="s">
        <v>404</v>
      </c>
      <c r="E95" s="9" t="s">
        <v>437</v>
      </c>
      <c r="F95" s="24">
        <v>34</v>
      </c>
      <c r="G95" s="27"/>
      <c r="H95" s="24">
        <v>34</v>
      </c>
      <c r="I95" s="25">
        <v>76.900000000000006</v>
      </c>
      <c r="J95" s="25">
        <v>97</v>
      </c>
      <c r="K95" s="26">
        <v>0.32400000000000001</v>
      </c>
      <c r="L95" s="26">
        <v>0.17599999999999999</v>
      </c>
      <c r="M95" s="24">
        <v>12</v>
      </c>
      <c r="N95" s="28" t="s">
        <v>344</v>
      </c>
      <c r="O95" s="28" t="s">
        <v>345</v>
      </c>
      <c r="P95" s="28" t="s">
        <v>344</v>
      </c>
      <c r="Q95" s="28" t="s">
        <v>345</v>
      </c>
      <c r="R95" s="29">
        <f>LN(F95+1)/LN(MAX($F$10:$F$511)+1)*100</f>
        <v>35.842867064465047</v>
      </c>
      <c r="S95" s="29">
        <f>IF(H95=0,0,(K95*0.5+L95*0.5)*100)</f>
        <v>25</v>
      </c>
      <c r="T95" s="29">
        <f>IF(M95="",0,MIN(100,M95/MAX($M$10:$M$511)*100))</f>
        <v>0.16032064128256512</v>
      </c>
      <c r="U95" s="29">
        <f>MIN(100,IF(O95="Yes",50,0)+IF(N95="Yes",30,0)+IF(P95="Yes",20,0))</f>
        <v>50</v>
      </c>
      <c r="V95" s="30">
        <f>ROUND(U95*$C$3+S95*$C$4+T95*$C$5+R95*$C$6,1)</f>
        <v>29.2</v>
      </c>
      <c r="W95" s="9" t="s">
        <v>475</v>
      </c>
    </row>
    <row r="96" spans="1:23" ht="32.25" customHeight="1" x14ac:dyDescent="0.2">
      <c r="A96" s="23">
        <v>141</v>
      </c>
      <c r="B96" s="9" t="s">
        <v>280</v>
      </c>
      <c r="C96" s="9" t="s">
        <v>600</v>
      </c>
      <c r="D96" s="9" t="s">
        <v>601</v>
      </c>
      <c r="E96" s="9" t="s">
        <v>456</v>
      </c>
      <c r="F96" s="24">
        <v>26</v>
      </c>
      <c r="G96" s="24">
        <v>76</v>
      </c>
      <c r="H96" s="24">
        <v>26</v>
      </c>
      <c r="I96" s="25">
        <v>84.9</v>
      </c>
      <c r="J96" s="25">
        <v>99.2</v>
      </c>
      <c r="K96" s="26">
        <v>0.42299999999999999</v>
      </c>
      <c r="L96" s="26">
        <v>7.6999999999999999E-2</v>
      </c>
      <c r="M96" s="24">
        <v>72</v>
      </c>
      <c r="N96" s="28" t="s">
        <v>344</v>
      </c>
      <c r="O96" s="28" t="s">
        <v>345</v>
      </c>
      <c r="P96" s="28" t="s">
        <v>344</v>
      </c>
      <c r="Q96" s="28" t="s">
        <v>345</v>
      </c>
      <c r="R96" s="29">
        <f>LN(F96+1)/LN(MAX($F$10:$F$511)+1)*100</f>
        <v>33.226632276578869</v>
      </c>
      <c r="S96" s="29">
        <f>IF(H96=0,0,(K96*0.5+L96*0.5)*100)</f>
        <v>25</v>
      </c>
      <c r="T96" s="29">
        <f>IF(M96="",0,MIN(100,M96/MAX($M$10:$M$511)*100))</f>
        <v>0.96192384769539074</v>
      </c>
      <c r="U96" s="29">
        <f>MIN(100,IF(O96="Yes",50,0)+IF(N96="Yes",30,0)+IF(P96="Yes",20,0))</f>
        <v>50</v>
      </c>
      <c r="V96" s="30">
        <f>ROUND(U96*$C$3+S96*$C$4+T96*$C$5+R96*$C$6,1)</f>
        <v>29</v>
      </c>
      <c r="W96" s="9" t="s">
        <v>396</v>
      </c>
    </row>
    <row r="97" spans="1:23" ht="32.25" customHeight="1" x14ac:dyDescent="0.2">
      <c r="A97" s="23">
        <v>142</v>
      </c>
      <c r="B97" s="9" t="s">
        <v>402</v>
      </c>
      <c r="C97" s="9" t="s">
        <v>559</v>
      </c>
      <c r="D97" s="9" t="s">
        <v>240</v>
      </c>
      <c r="E97" s="9" t="s">
        <v>437</v>
      </c>
      <c r="F97" s="24">
        <v>101</v>
      </c>
      <c r="G97" s="24">
        <v>196</v>
      </c>
      <c r="H97" s="24">
        <v>101</v>
      </c>
      <c r="I97" s="25">
        <v>55.1</v>
      </c>
      <c r="J97" s="25">
        <v>78.3</v>
      </c>
      <c r="K97" s="26">
        <v>0.27700000000000002</v>
      </c>
      <c r="L97" s="26">
        <v>6.9000000000000006E-2</v>
      </c>
      <c r="M97" s="24">
        <v>35</v>
      </c>
      <c r="N97" s="28" t="s">
        <v>344</v>
      </c>
      <c r="O97" s="28" t="s">
        <v>345</v>
      </c>
      <c r="P97" s="28" t="s">
        <v>344</v>
      </c>
      <c r="Q97" s="28" t="s">
        <v>344</v>
      </c>
      <c r="R97" s="29">
        <f>LN(F97+1)/LN(MAX($F$10:$F$511)+1)*100</f>
        <v>46.626176356378274</v>
      </c>
      <c r="S97" s="29">
        <f>IF(H97=0,0,(K97*0.5+L97*0.5)*100)</f>
        <v>17.3</v>
      </c>
      <c r="T97" s="29">
        <f>IF(M97="",0,MIN(100,M97/MAX($M$10:$M$511)*100))</f>
        <v>0.46760187040748163</v>
      </c>
      <c r="U97" s="29">
        <f>MIN(100,IF(O97="Yes",50,0)+IF(N97="Yes",30,0)+IF(P97="Yes",20,0))</f>
        <v>50</v>
      </c>
      <c r="V97" s="30">
        <f>ROUND(U97*$C$3+S97*$C$4+T97*$C$5+R97*$C$6,1)</f>
        <v>28.9</v>
      </c>
      <c r="W97" s="9"/>
    </row>
    <row r="98" spans="1:23" ht="21.75" customHeight="1" x14ac:dyDescent="0.2">
      <c r="A98" s="23">
        <v>143</v>
      </c>
      <c r="B98" s="9" t="s">
        <v>402</v>
      </c>
      <c r="C98" s="9" t="s">
        <v>472</v>
      </c>
      <c r="D98" s="9" t="s">
        <v>602</v>
      </c>
      <c r="E98" s="9" t="s">
        <v>405</v>
      </c>
      <c r="F98" s="24">
        <v>41</v>
      </c>
      <c r="G98" s="24">
        <v>2221</v>
      </c>
      <c r="H98" s="24">
        <v>41</v>
      </c>
      <c r="I98" s="25">
        <v>39.9</v>
      </c>
      <c r="J98" s="25">
        <v>61</v>
      </c>
      <c r="K98" s="26">
        <v>0.19500000000000001</v>
      </c>
      <c r="L98" s="26">
        <v>2.4E-2</v>
      </c>
      <c r="M98" s="24">
        <v>892</v>
      </c>
      <c r="N98" s="28" t="s">
        <v>344</v>
      </c>
      <c r="O98" s="28" t="s">
        <v>345</v>
      </c>
      <c r="P98" s="28" t="s">
        <v>344</v>
      </c>
      <c r="Q98" s="28" t="s">
        <v>344</v>
      </c>
      <c r="R98" s="29">
        <f>LN(F98+1)/LN(MAX($F$10:$F$511)+1)*100</f>
        <v>37.680922638808561</v>
      </c>
      <c r="S98" s="29">
        <f>IF(H98=0,0,(K98*0.5+L98*0.5)*100)</f>
        <v>10.95</v>
      </c>
      <c r="T98" s="29">
        <f>IF(M98="",0,MIN(100,M98/MAX($M$10:$M$511)*100))</f>
        <v>11.917167668670675</v>
      </c>
      <c r="U98" s="29">
        <f>MIN(100,IF(O98="Yes",50,0)+IF(N98="Yes",30,0)+IF(P98="Yes",20,0))</f>
        <v>50</v>
      </c>
      <c r="V98" s="30">
        <f>ROUND(U98*$C$3+S98*$C$4+T98*$C$5+R98*$C$6,1)</f>
        <v>28.9</v>
      </c>
      <c r="W98" s="9" t="s">
        <v>396</v>
      </c>
    </row>
    <row r="99" spans="1:23" ht="21.75" customHeight="1" x14ac:dyDescent="0.2">
      <c r="A99" s="23">
        <v>144</v>
      </c>
      <c r="B99" s="9" t="s">
        <v>280</v>
      </c>
      <c r="C99" s="9" t="s">
        <v>574</v>
      </c>
      <c r="D99" s="9" t="s">
        <v>603</v>
      </c>
      <c r="E99" s="9" t="s">
        <v>604</v>
      </c>
      <c r="F99" s="24">
        <v>6</v>
      </c>
      <c r="G99" s="24">
        <v>13</v>
      </c>
      <c r="H99" s="24">
        <v>6</v>
      </c>
      <c r="I99" s="25">
        <v>111.9</v>
      </c>
      <c r="J99" s="25">
        <v>85.5</v>
      </c>
      <c r="K99" s="26">
        <v>0.66700000000000004</v>
      </c>
      <c r="L99" s="26">
        <v>0</v>
      </c>
      <c r="M99" s="24">
        <v>6</v>
      </c>
      <c r="N99" s="28" t="s">
        <v>344</v>
      </c>
      <c r="O99" s="28" t="s">
        <v>345</v>
      </c>
      <c r="P99" s="28" t="s">
        <v>344</v>
      </c>
      <c r="Q99" s="28" t="s">
        <v>345</v>
      </c>
      <c r="R99" s="29">
        <f>LN(F99+1)/LN(MAX($F$10:$F$511)+1)*100</f>
        <v>19.617488241858492</v>
      </c>
      <c r="S99" s="29">
        <f>IF(H99=0,0,(K99*0.5+L99*0.5)*100)</f>
        <v>33.35</v>
      </c>
      <c r="T99" s="29">
        <f>IF(M99="",0,MIN(100,M99/MAX($M$10:$M$511)*100))</f>
        <v>8.0160320641282562E-2</v>
      </c>
      <c r="U99" s="29">
        <f>MIN(100,IF(O99="Yes",50,0)+IF(N99="Yes",30,0)+IF(P99="Yes",20,0))</f>
        <v>50</v>
      </c>
      <c r="V99" s="30">
        <f>ROUND(U99*$C$3+S99*$C$4+T99*$C$5+R99*$C$6,1)</f>
        <v>28.8</v>
      </c>
      <c r="W99" s="9" t="s">
        <v>451</v>
      </c>
    </row>
    <row r="100" spans="1:23" ht="21.75" customHeight="1" x14ac:dyDescent="0.2">
      <c r="A100" s="23">
        <v>145</v>
      </c>
      <c r="B100" s="9" t="s">
        <v>280</v>
      </c>
      <c r="C100" s="9" t="s">
        <v>605</v>
      </c>
      <c r="D100" s="9" t="s">
        <v>532</v>
      </c>
      <c r="E100" s="9" t="s">
        <v>456</v>
      </c>
      <c r="F100" s="24">
        <v>12</v>
      </c>
      <c r="G100" s="24">
        <v>59</v>
      </c>
      <c r="H100" s="24">
        <v>12</v>
      </c>
      <c r="I100" s="25">
        <v>70.5</v>
      </c>
      <c r="J100" s="25">
        <v>153.80000000000001</v>
      </c>
      <c r="K100" s="26">
        <v>0.41699999999999998</v>
      </c>
      <c r="L100" s="26">
        <v>0.16700000000000001</v>
      </c>
      <c r="M100" s="24">
        <v>35</v>
      </c>
      <c r="N100" s="28" t="s">
        <v>344</v>
      </c>
      <c r="O100" s="28" t="s">
        <v>345</v>
      </c>
      <c r="P100" s="28" t="s">
        <v>344</v>
      </c>
      <c r="Q100" s="28" t="s">
        <v>345</v>
      </c>
      <c r="R100" s="29">
        <f>LN(F100+1)/LN(MAX($F$10:$F$511)+1)*100</f>
        <v>25.85826682973628</v>
      </c>
      <c r="S100" s="29">
        <f>IF(H100=0,0,(K100*0.5+L100*0.5)*100)</f>
        <v>29.2</v>
      </c>
      <c r="T100" s="29">
        <f>IF(M100="",0,MIN(100,M100/MAX($M$10:$M$511)*100))</f>
        <v>0.46760187040748163</v>
      </c>
      <c r="U100" s="29">
        <f>MIN(100,IF(O100="Yes",50,0)+IF(N100="Yes",30,0)+IF(P100="Yes",20,0))</f>
        <v>50</v>
      </c>
      <c r="V100" s="30">
        <f>ROUND(U100*$C$3+S100*$C$4+T100*$C$5+R100*$C$6,1)</f>
        <v>28.8</v>
      </c>
      <c r="W100" s="9" t="s">
        <v>396</v>
      </c>
    </row>
    <row r="101" spans="1:23" ht="21.75" customHeight="1" x14ac:dyDescent="0.2">
      <c r="A101" s="23">
        <v>147</v>
      </c>
      <c r="B101" s="9" t="s">
        <v>384</v>
      </c>
      <c r="C101" s="9" t="s">
        <v>527</v>
      </c>
      <c r="D101" s="9" t="s">
        <v>428</v>
      </c>
      <c r="E101" s="9" t="s">
        <v>415</v>
      </c>
      <c r="F101" s="24">
        <v>58</v>
      </c>
      <c r="G101" s="24">
        <v>80</v>
      </c>
      <c r="H101" s="24">
        <v>58</v>
      </c>
      <c r="I101" s="25">
        <v>60</v>
      </c>
      <c r="J101" s="25">
        <v>94</v>
      </c>
      <c r="K101" s="26">
        <v>0.27600000000000002</v>
      </c>
      <c r="L101" s="26">
        <v>8.5999999999999993E-2</v>
      </c>
      <c r="M101" s="24">
        <v>165</v>
      </c>
      <c r="N101" s="28" t="s">
        <v>344</v>
      </c>
      <c r="O101" s="28" t="s">
        <v>345</v>
      </c>
      <c r="P101" s="28" t="s">
        <v>344</v>
      </c>
      <c r="Q101" s="28" t="s">
        <v>345</v>
      </c>
      <c r="R101" s="29">
        <f>LN(F101+1)/LN(MAX($F$10:$F$511)+1)*100</f>
        <v>41.107264330982431</v>
      </c>
      <c r="S101" s="29">
        <f>IF(H101=0,0,(K101*0.5+L101*0.5)*100)</f>
        <v>18.099999999999998</v>
      </c>
      <c r="T101" s="29">
        <f>IF(M101="",0,MIN(100,M101/MAX($M$10:$M$511)*100))</f>
        <v>2.2044088176352705</v>
      </c>
      <c r="U101" s="29">
        <f>MIN(100,IF(O101="Yes",50,0)+IF(N101="Yes",30,0)+IF(P101="Yes",20,0))</f>
        <v>50</v>
      </c>
      <c r="V101" s="30">
        <f>ROUND(U101*$C$3+S101*$C$4+T101*$C$5+R101*$C$6,1)</f>
        <v>28.7</v>
      </c>
      <c r="W101" s="9" t="s">
        <v>396</v>
      </c>
    </row>
    <row r="102" spans="1:23" ht="21.75" customHeight="1" x14ac:dyDescent="0.2">
      <c r="A102" s="23">
        <v>148</v>
      </c>
      <c r="B102" s="9" t="s">
        <v>366</v>
      </c>
      <c r="C102" s="9" t="s">
        <v>367</v>
      </c>
      <c r="D102" s="9" t="s">
        <v>608</v>
      </c>
      <c r="E102" s="9" t="s">
        <v>369</v>
      </c>
      <c r="F102" s="24">
        <v>1</v>
      </c>
      <c r="G102" s="24">
        <v>2132</v>
      </c>
      <c r="H102" s="24">
        <v>1</v>
      </c>
      <c r="I102" s="25">
        <v>18.899999999999999</v>
      </c>
      <c r="J102" s="25">
        <v>18.899999999999999</v>
      </c>
      <c r="K102" s="26">
        <v>0</v>
      </c>
      <c r="L102" s="26">
        <v>0</v>
      </c>
      <c r="M102" s="24">
        <v>3027</v>
      </c>
      <c r="N102" s="31"/>
      <c r="O102" s="32" t="s">
        <v>344</v>
      </c>
      <c r="P102" s="28"/>
      <c r="Q102" s="28" t="s">
        <v>345</v>
      </c>
      <c r="R102" s="29">
        <f>LN(F102+1)/LN(MAX($F$10:$F$511)+1)*100</f>
        <v>6.987890304757113</v>
      </c>
      <c r="S102" s="29">
        <f>IF(H102=0,0,(K102*0.5+L102*0.5)*100)</f>
        <v>0</v>
      </c>
      <c r="T102" s="29">
        <f>IF(M102="",0,MIN(100,M102/MAX($M$10:$M$511)*100))</f>
        <v>40.440881763527052</v>
      </c>
      <c r="U102" s="29">
        <f>MIN(100,IF(O102="Yes",50,0)+IF(N102="Yes",30,0)+IF(P102="Yes",20,0))</f>
        <v>50</v>
      </c>
      <c r="V102" s="30">
        <f>ROUND(U102*$C$3+S102*$C$4+T102*$C$5+R102*$C$6,1)</f>
        <v>28.7</v>
      </c>
      <c r="W102" s="9" t="s">
        <v>597</v>
      </c>
    </row>
    <row r="103" spans="1:23" ht="21.75" customHeight="1" x14ac:dyDescent="0.2">
      <c r="A103" s="23">
        <v>149</v>
      </c>
      <c r="B103" s="9" t="s">
        <v>366</v>
      </c>
      <c r="C103" s="9" t="s">
        <v>367</v>
      </c>
      <c r="D103" s="9" t="s">
        <v>609</v>
      </c>
      <c r="E103" s="9" t="s">
        <v>369</v>
      </c>
      <c r="F103" s="24">
        <v>1</v>
      </c>
      <c r="G103" s="24">
        <v>2132</v>
      </c>
      <c r="H103" s="24">
        <v>1</v>
      </c>
      <c r="I103" s="25">
        <v>11.9</v>
      </c>
      <c r="J103" s="25">
        <v>11.9</v>
      </c>
      <c r="K103" s="26">
        <v>0</v>
      </c>
      <c r="L103" s="26">
        <v>0</v>
      </c>
      <c r="M103" s="24">
        <v>3027</v>
      </c>
      <c r="N103" s="31"/>
      <c r="O103" s="32" t="s">
        <v>344</v>
      </c>
      <c r="P103" s="28"/>
      <c r="Q103" s="28" t="s">
        <v>345</v>
      </c>
      <c r="R103" s="29">
        <f>LN(F103+1)/LN(MAX($F$10:$F$511)+1)*100</f>
        <v>6.987890304757113</v>
      </c>
      <c r="S103" s="29">
        <f>IF(H103=0,0,(K103*0.5+L103*0.5)*100)</f>
        <v>0</v>
      </c>
      <c r="T103" s="29">
        <f>IF(M103="",0,MIN(100,M103/MAX($M$10:$M$511)*100))</f>
        <v>40.440881763527052</v>
      </c>
      <c r="U103" s="29">
        <f>MIN(100,IF(O103="Yes",50,0)+IF(N103="Yes",30,0)+IF(P103="Yes",20,0))</f>
        <v>50</v>
      </c>
      <c r="V103" s="30">
        <f>ROUND(U103*$C$3+S103*$C$4+T103*$C$5+R103*$C$6,1)</f>
        <v>28.7</v>
      </c>
      <c r="W103" s="9" t="s">
        <v>597</v>
      </c>
    </row>
    <row r="104" spans="1:23" ht="32.25" customHeight="1" x14ac:dyDescent="0.2">
      <c r="A104" s="23">
        <v>150</v>
      </c>
      <c r="B104" s="9" t="s">
        <v>384</v>
      </c>
      <c r="C104" s="9" t="s">
        <v>610</v>
      </c>
      <c r="D104" s="9" t="s">
        <v>611</v>
      </c>
      <c r="E104" s="9" t="s">
        <v>415</v>
      </c>
      <c r="F104" s="24">
        <v>638</v>
      </c>
      <c r="G104" s="24">
        <v>777</v>
      </c>
      <c r="H104" s="24">
        <v>638</v>
      </c>
      <c r="I104" s="25">
        <v>19</v>
      </c>
      <c r="J104" s="25">
        <v>33.6</v>
      </c>
      <c r="K104" s="26">
        <v>6.3E-2</v>
      </c>
      <c r="L104" s="26">
        <v>2.7E-2</v>
      </c>
      <c r="M104" s="24">
        <v>74</v>
      </c>
      <c r="N104" s="28" t="s">
        <v>344</v>
      </c>
      <c r="O104" s="28" t="s">
        <v>345</v>
      </c>
      <c r="P104" s="28" t="s">
        <v>344</v>
      </c>
      <c r="Q104" s="28" t="s">
        <v>345</v>
      </c>
      <c r="R104" s="29">
        <f>LN(F104+1)/LN(MAX($F$10:$F$511)+1)*100</f>
        <v>65.124846457480658</v>
      </c>
      <c r="S104" s="29">
        <f>IF(H104=0,0,(K104*0.5+L104*0.5)*100)</f>
        <v>4.5</v>
      </c>
      <c r="T104" s="29">
        <f>IF(M104="",0,MIN(100,M104/MAX($M$10:$M$511)*100))</f>
        <v>0.98864395457581833</v>
      </c>
      <c r="U104" s="29">
        <f>MIN(100,IF(O104="Yes",50,0)+IF(N104="Yes",30,0)+IF(P104="Yes",20,0))</f>
        <v>50</v>
      </c>
      <c r="V104" s="30">
        <f>ROUND(U104*$C$3+S104*$C$4+T104*$C$5+R104*$C$6,1)</f>
        <v>28.6</v>
      </c>
      <c r="W104" s="9"/>
    </row>
    <row r="105" spans="1:23" ht="32.25" customHeight="1" x14ac:dyDescent="0.2">
      <c r="A105" s="23">
        <v>151</v>
      </c>
      <c r="B105" s="9" t="s">
        <v>208</v>
      </c>
      <c r="C105" s="9" t="s">
        <v>612</v>
      </c>
      <c r="D105" s="9" t="s">
        <v>613</v>
      </c>
      <c r="E105" s="9" t="s">
        <v>614</v>
      </c>
      <c r="F105" s="24">
        <v>18</v>
      </c>
      <c r="G105" s="24">
        <v>7</v>
      </c>
      <c r="H105" s="24">
        <v>18</v>
      </c>
      <c r="I105" s="25">
        <v>90</v>
      </c>
      <c r="J105" s="25">
        <v>91.9</v>
      </c>
      <c r="K105" s="26">
        <v>0.5</v>
      </c>
      <c r="L105" s="26">
        <v>0</v>
      </c>
      <c r="M105" s="24">
        <v>82</v>
      </c>
      <c r="N105" s="28" t="s">
        <v>344</v>
      </c>
      <c r="O105" s="28" t="s">
        <v>345</v>
      </c>
      <c r="P105" s="28" t="s">
        <v>344</v>
      </c>
      <c r="Q105" s="28" t="s">
        <v>344</v>
      </c>
      <c r="R105" s="29">
        <f>LN(F105+1)/LN(MAX($F$10:$F$511)+1)*100</f>
        <v>29.684051486503421</v>
      </c>
      <c r="S105" s="29">
        <f>IF(H105=0,0,(K105*0.5+L105*0.5)*100)</f>
        <v>25</v>
      </c>
      <c r="T105" s="29">
        <f>IF(M105="",0,MIN(100,M105/MAX($M$10:$M$511)*100))</f>
        <v>1.0955243820975284</v>
      </c>
      <c r="U105" s="29">
        <f>MIN(100,IF(O105="Yes",50,0)+IF(N105="Yes",30,0)+IF(P105="Yes",20,0))</f>
        <v>50</v>
      </c>
      <c r="V105" s="30">
        <f>ROUND(U105*$C$3+S105*$C$4+T105*$C$5+R105*$C$6,1)</f>
        <v>28.5</v>
      </c>
      <c r="W105" s="9" t="s">
        <v>396</v>
      </c>
    </row>
    <row r="106" spans="1:23" ht="32.25" customHeight="1" x14ac:dyDescent="0.2">
      <c r="A106" s="23">
        <v>152</v>
      </c>
      <c r="B106" s="9" t="s">
        <v>402</v>
      </c>
      <c r="C106" s="9" t="s">
        <v>472</v>
      </c>
      <c r="D106" s="9" t="s">
        <v>615</v>
      </c>
      <c r="E106" s="9" t="s">
        <v>437</v>
      </c>
      <c r="F106" s="24">
        <v>2</v>
      </c>
      <c r="G106" s="24">
        <v>2221</v>
      </c>
      <c r="H106" s="24">
        <v>2</v>
      </c>
      <c r="I106" s="25">
        <v>117.6</v>
      </c>
      <c r="J106" s="25">
        <v>117.6</v>
      </c>
      <c r="K106" s="26">
        <v>0.5</v>
      </c>
      <c r="L106" s="26">
        <v>0</v>
      </c>
      <c r="M106" s="24">
        <v>892</v>
      </c>
      <c r="N106" s="28" t="s">
        <v>344</v>
      </c>
      <c r="O106" s="28" t="s">
        <v>345</v>
      </c>
      <c r="P106" s="28" t="s">
        <v>344</v>
      </c>
      <c r="Q106" s="28" t="s">
        <v>344</v>
      </c>
      <c r="R106" s="29">
        <f>LN(F106+1)/LN(MAX($F$10:$F$511)+1)*100</f>
        <v>11.075544092192956</v>
      </c>
      <c r="S106" s="29">
        <f>IF(H106=0,0,(K106*0.5+L106*0.5)*100)</f>
        <v>25</v>
      </c>
      <c r="T106" s="29">
        <f>IF(M106="",0,MIN(100,M106/MAX($M$10:$M$511)*100))</f>
        <v>11.917167668670675</v>
      </c>
      <c r="U106" s="29">
        <f>MIN(100,IF(O106="Yes",50,0)+IF(N106="Yes",30,0)+IF(P106="Yes",20,0))</f>
        <v>50</v>
      </c>
      <c r="V106" s="30">
        <f>ROUND(U106*$C$3+S106*$C$4+T106*$C$5+R106*$C$6,1)</f>
        <v>28.4</v>
      </c>
      <c r="W106" s="9" t="s">
        <v>388</v>
      </c>
    </row>
    <row r="107" spans="1:23" ht="21.75" customHeight="1" x14ac:dyDescent="0.2">
      <c r="A107" s="23">
        <v>153</v>
      </c>
      <c r="B107" s="9" t="s">
        <v>384</v>
      </c>
      <c r="C107" s="9" t="s">
        <v>527</v>
      </c>
      <c r="D107" s="9" t="s">
        <v>616</v>
      </c>
      <c r="E107" s="9" t="s">
        <v>415</v>
      </c>
      <c r="F107" s="24">
        <v>5</v>
      </c>
      <c r="G107" s="24">
        <v>80</v>
      </c>
      <c r="H107" s="24">
        <v>5</v>
      </c>
      <c r="I107" s="25">
        <v>59.9</v>
      </c>
      <c r="J107" s="25">
        <v>91.5</v>
      </c>
      <c r="K107" s="26">
        <v>0.4</v>
      </c>
      <c r="L107" s="26">
        <v>0.2</v>
      </c>
      <c r="M107" s="24">
        <v>165</v>
      </c>
      <c r="N107" s="28" t="s">
        <v>344</v>
      </c>
      <c r="O107" s="28" t="s">
        <v>345</v>
      </c>
      <c r="P107" s="28" t="s">
        <v>344</v>
      </c>
      <c r="Q107" s="28" t="s">
        <v>345</v>
      </c>
      <c r="R107" s="29">
        <f>LN(F107+1)/LN(MAX($F$10:$F$511)+1)*100</f>
        <v>18.063434396950068</v>
      </c>
      <c r="S107" s="29">
        <f>IF(H107=0,0,(K107*0.5+L107*0.5)*100)</f>
        <v>30.000000000000004</v>
      </c>
      <c r="T107" s="29">
        <f>IF(M107="",0,MIN(100,M107/MAX($M$10:$M$511)*100))</f>
        <v>2.2044088176352705</v>
      </c>
      <c r="U107" s="29">
        <f>MIN(100,IF(O107="Yes",50,0)+IF(N107="Yes",30,0)+IF(P107="Yes",20,0))</f>
        <v>50</v>
      </c>
      <c r="V107" s="30">
        <f>ROUND(U107*$C$3+S107*$C$4+T107*$C$5+R107*$C$6,1)</f>
        <v>28.3</v>
      </c>
      <c r="W107" s="9" t="s">
        <v>388</v>
      </c>
    </row>
    <row r="108" spans="1:23" ht="21.75" customHeight="1" x14ac:dyDescent="0.2">
      <c r="A108" s="23">
        <v>154</v>
      </c>
      <c r="B108" s="9" t="s">
        <v>384</v>
      </c>
      <c r="C108" s="9" t="s">
        <v>610</v>
      </c>
      <c r="D108" s="9" t="s">
        <v>617</v>
      </c>
      <c r="E108" s="9" t="s">
        <v>415</v>
      </c>
      <c r="F108" s="24">
        <v>635</v>
      </c>
      <c r="G108" s="24">
        <v>777</v>
      </c>
      <c r="H108" s="24">
        <v>635</v>
      </c>
      <c r="I108" s="25">
        <v>14.9</v>
      </c>
      <c r="J108" s="25">
        <v>25.2</v>
      </c>
      <c r="K108" s="26">
        <v>4.9000000000000002E-2</v>
      </c>
      <c r="L108" s="26">
        <v>8.0000000000000002E-3</v>
      </c>
      <c r="M108" s="24">
        <v>74</v>
      </c>
      <c r="N108" s="28" t="s">
        <v>344</v>
      </c>
      <c r="O108" s="28" t="s">
        <v>345</v>
      </c>
      <c r="P108" s="28" t="s">
        <v>344</v>
      </c>
      <c r="Q108" s="28" t="s">
        <v>345</v>
      </c>
      <c r="R108" s="29">
        <f>LN(F108+1)/LN(MAX($F$10:$F$511)+1)*100</f>
        <v>65.077404512569316</v>
      </c>
      <c r="S108" s="29">
        <f>IF(H108=0,0,(K108*0.5+L108*0.5)*100)</f>
        <v>2.85</v>
      </c>
      <c r="T108" s="29">
        <f>IF(M108="",0,MIN(100,M108/MAX($M$10:$M$511)*100))</f>
        <v>0.98864395457581833</v>
      </c>
      <c r="U108" s="29">
        <f>MIN(100,IF(O108="Yes",50,0)+IF(N108="Yes",30,0)+IF(P108="Yes",20,0))</f>
        <v>50</v>
      </c>
      <c r="V108" s="30">
        <f>ROUND(U108*$C$3+S108*$C$4+T108*$C$5+R108*$C$6,1)</f>
        <v>28.2</v>
      </c>
      <c r="W108" s="9"/>
    </row>
    <row r="109" spans="1:23" ht="15" customHeight="1" x14ac:dyDescent="0.2">
      <c r="A109" s="23">
        <v>155</v>
      </c>
      <c r="B109" s="9" t="s">
        <v>372</v>
      </c>
      <c r="C109" s="9" t="s">
        <v>591</v>
      </c>
      <c r="D109" s="9" t="s">
        <v>480</v>
      </c>
      <c r="E109" s="9" t="s">
        <v>470</v>
      </c>
      <c r="F109" s="24">
        <v>880</v>
      </c>
      <c r="G109" s="24">
        <v>2901</v>
      </c>
      <c r="H109" s="24">
        <v>880</v>
      </c>
      <c r="I109" s="25">
        <v>1.8</v>
      </c>
      <c r="J109" s="25">
        <v>4.5</v>
      </c>
      <c r="K109" s="26">
        <v>3.0000000000000001E-3</v>
      </c>
      <c r="L109" s="26">
        <v>1E-3</v>
      </c>
      <c r="M109" s="24">
        <v>98</v>
      </c>
      <c r="N109" s="28" t="s">
        <v>344</v>
      </c>
      <c r="O109" s="28" t="s">
        <v>345</v>
      </c>
      <c r="P109" s="28" t="s">
        <v>344</v>
      </c>
      <c r="Q109" s="28" t="s">
        <v>345</v>
      </c>
      <c r="R109" s="29">
        <f>LN(F109+1)/LN(MAX($F$10:$F$511)+1)*100</f>
        <v>68.362518335571167</v>
      </c>
      <c r="S109" s="29">
        <f>IF(H109=0,0,(K109*0.5+L109*0.5)*100)</f>
        <v>0.2</v>
      </c>
      <c r="T109" s="29">
        <f>IF(M109="",0,MIN(100,M109/MAX($M$10:$M$511)*100))</f>
        <v>1.3092852371409485</v>
      </c>
      <c r="U109" s="29">
        <f>MIN(100,IF(O109="Yes",50,0)+IF(N109="Yes",30,0)+IF(P109="Yes",20,0))</f>
        <v>50</v>
      </c>
      <c r="V109" s="30">
        <f>ROUND(U109*$C$3+S109*$C$4+T109*$C$5+R109*$C$6,1)</f>
        <v>28.1</v>
      </c>
      <c r="W109" s="9"/>
    </row>
    <row r="110" spans="1:23" ht="15" customHeight="1" x14ac:dyDescent="0.2">
      <c r="A110" s="23">
        <v>156</v>
      </c>
      <c r="B110" s="9" t="s">
        <v>280</v>
      </c>
      <c r="C110" s="9" t="s">
        <v>618</v>
      </c>
      <c r="D110" s="9" t="s">
        <v>619</v>
      </c>
      <c r="E110" s="9" t="s">
        <v>489</v>
      </c>
      <c r="F110" s="24">
        <v>40</v>
      </c>
      <c r="G110" s="24">
        <v>59</v>
      </c>
      <c r="H110" s="24">
        <v>40</v>
      </c>
      <c r="I110" s="25">
        <v>129.5</v>
      </c>
      <c r="J110" s="25">
        <v>199.6</v>
      </c>
      <c r="K110" s="26">
        <v>0.85</v>
      </c>
      <c r="L110" s="26">
        <v>0.375</v>
      </c>
      <c r="M110" s="24">
        <v>37</v>
      </c>
      <c r="N110" s="28" t="s">
        <v>345</v>
      </c>
      <c r="O110" s="28" t="s">
        <v>345</v>
      </c>
      <c r="P110" s="28" t="s">
        <v>344</v>
      </c>
      <c r="Q110" s="28" t="s">
        <v>345</v>
      </c>
      <c r="R110" s="29">
        <f>LN(F110+1)/LN(MAX($F$10:$F$511)+1)*100</f>
        <v>37.437985710302748</v>
      </c>
      <c r="S110" s="29">
        <f>IF(H110=0,0,(K110*0.5+L110*0.5)*100)</f>
        <v>61.250000000000007</v>
      </c>
      <c r="T110" s="29">
        <f>IF(M110="",0,MIN(100,M110/MAX($M$10:$M$511)*100))</f>
        <v>0.49432197728790916</v>
      </c>
      <c r="U110" s="29">
        <f>MIN(100,IF(O110="Yes",50,0)+IF(N110="Yes",30,0)+IF(P110="Yes",20,0))</f>
        <v>20</v>
      </c>
      <c r="V110" s="30">
        <f>ROUND(U110*$C$3+S110*$C$4+T110*$C$5+R110*$C$6,1)</f>
        <v>28.1</v>
      </c>
      <c r="W110" s="9"/>
    </row>
    <row r="111" spans="1:23" ht="21.75" customHeight="1" x14ac:dyDescent="0.2">
      <c r="A111" s="23">
        <v>157</v>
      </c>
      <c r="B111" s="9" t="s">
        <v>416</v>
      </c>
      <c r="C111" s="9" t="s">
        <v>620</v>
      </c>
      <c r="D111" s="9" t="s">
        <v>621</v>
      </c>
      <c r="E111" s="9" t="s">
        <v>450</v>
      </c>
      <c r="F111" s="24">
        <v>3</v>
      </c>
      <c r="G111" s="24">
        <v>22</v>
      </c>
      <c r="H111" s="24">
        <v>3</v>
      </c>
      <c r="I111" s="25">
        <v>130</v>
      </c>
      <c r="J111" s="25">
        <v>107.5</v>
      </c>
      <c r="K111" s="26">
        <v>0.66700000000000004</v>
      </c>
      <c r="L111" s="26">
        <v>0</v>
      </c>
      <c r="M111" s="24">
        <v>32</v>
      </c>
      <c r="N111" s="28" t="s">
        <v>344</v>
      </c>
      <c r="O111" s="28" t="s">
        <v>345</v>
      </c>
      <c r="P111" s="28" t="s">
        <v>344</v>
      </c>
      <c r="Q111" s="28" t="s">
        <v>345</v>
      </c>
      <c r="R111" s="29">
        <f>LN(F111+1)/LN(MAX($F$10:$F$511)+1)*100</f>
        <v>13.975780609514226</v>
      </c>
      <c r="S111" s="29">
        <f>IF(H111=0,0,(K111*0.5+L111*0.5)*100)</f>
        <v>33.35</v>
      </c>
      <c r="T111" s="29">
        <f>IF(M111="",0,MIN(100,M111/MAX($M$10:$M$511)*100))</f>
        <v>0.42752171008684037</v>
      </c>
      <c r="U111" s="29">
        <f>MIN(100,IF(O111="Yes",50,0)+IF(N111="Yes",30,0)+IF(P111="Yes",20,0))</f>
        <v>50</v>
      </c>
      <c r="V111" s="30">
        <f>ROUND(U111*$C$3+S111*$C$4+T111*$C$5+R111*$C$6,1)</f>
        <v>28</v>
      </c>
      <c r="W111" s="9" t="s">
        <v>388</v>
      </c>
    </row>
    <row r="112" spans="1:23" ht="21.75" customHeight="1" x14ac:dyDescent="0.2">
      <c r="A112" s="23">
        <v>158</v>
      </c>
      <c r="B112" s="9" t="s">
        <v>280</v>
      </c>
      <c r="C112" s="9" t="s">
        <v>492</v>
      </c>
      <c r="D112" s="9" t="s">
        <v>408</v>
      </c>
      <c r="E112" s="9" t="s">
        <v>343</v>
      </c>
      <c r="F112" s="24">
        <v>3</v>
      </c>
      <c r="G112" s="24">
        <v>37</v>
      </c>
      <c r="H112" s="24">
        <v>3</v>
      </c>
      <c r="I112" s="25">
        <v>97.4</v>
      </c>
      <c r="J112" s="25">
        <v>113.1</v>
      </c>
      <c r="K112" s="26">
        <v>0.66700000000000004</v>
      </c>
      <c r="L112" s="26">
        <v>0</v>
      </c>
      <c r="M112" s="24">
        <v>17</v>
      </c>
      <c r="N112" s="28" t="s">
        <v>344</v>
      </c>
      <c r="O112" s="28" t="s">
        <v>345</v>
      </c>
      <c r="P112" s="28" t="s">
        <v>344</v>
      </c>
      <c r="Q112" s="28" t="s">
        <v>345</v>
      </c>
      <c r="R112" s="29">
        <f>LN(F112+1)/LN(MAX($F$10:$F$511)+1)*100</f>
        <v>13.975780609514226</v>
      </c>
      <c r="S112" s="29">
        <f>IF(H112=0,0,(K112*0.5+L112*0.5)*100)</f>
        <v>33.35</v>
      </c>
      <c r="T112" s="29">
        <f>IF(M112="",0,MIN(100,M112/MAX($M$10:$M$511)*100))</f>
        <v>0.22712090848363395</v>
      </c>
      <c r="U112" s="29">
        <f>MIN(100,IF(O112="Yes",50,0)+IF(N112="Yes",30,0)+IF(P112="Yes",20,0))</f>
        <v>50</v>
      </c>
      <c r="V112" s="30">
        <f>ROUND(U112*$C$3+S112*$C$4+T112*$C$5+R112*$C$6,1)</f>
        <v>28</v>
      </c>
      <c r="W112" s="9" t="s">
        <v>388</v>
      </c>
    </row>
    <row r="113" spans="1:23" ht="21.75" customHeight="1" x14ac:dyDescent="0.2">
      <c r="A113" s="23">
        <v>159</v>
      </c>
      <c r="B113" s="9" t="s">
        <v>372</v>
      </c>
      <c r="C113" s="9" t="s">
        <v>622</v>
      </c>
      <c r="D113" s="9"/>
      <c r="E113" s="9" t="s">
        <v>374</v>
      </c>
      <c r="F113" s="24">
        <v>596</v>
      </c>
      <c r="G113" s="24">
        <v>397</v>
      </c>
      <c r="H113" s="24">
        <v>596</v>
      </c>
      <c r="I113" s="25">
        <v>2</v>
      </c>
      <c r="J113" s="25">
        <v>12.4</v>
      </c>
      <c r="K113" s="26">
        <v>2.3E-2</v>
      </c>
      <c r="L113" s="26">
        <v>1.7000000000000001E-2</v>
      </c>
      <c r="M113" s="24">
        <v>95</v>
      </c>
      <c r="N113" s="28" t="s">
        <v>344</v>
      </c>
      <c r="O113" s="28" t="s">
        <v>345</v>
      </c>
      <c r="P113" s="28" t="s">
        <v>344</v>
      </c>
      <c r="Q113" s="28" t="s">
        <v>345</v>
      </c>
      <c r="R113" s="29">
        <f>LN(F113+1)/LN(MAX($F$10:$F$511)+1)*100</f>
        <v>64.439439239159384</v>
      </c>
      <c r="S113" s="29">
        <f>IF(H113=0,0,(K113*0.5+L113*0.5)*100)</f>
        <v>2</v>
      </c>
      <c r="T113" s="29">
        <f>IF(M113="",0,MIN(100,M113/MAX($M$10:$M$511)*100))</f>
        <v>1.2692050768203071</v>
      </c>
      <c r="U113" s="29">
        <f>MIN(100,IF(O113="Yes",50,0)+IF(N113="Yes",30,0)+IF(P113="Yes",20,0))</f>
        <v>50</v>
      </c>
      <c r="V113" s="30">
        <f>ROUND(U113*$C$3+S113*$C$4+T113*$C$5+R113*$C$6,1)</f>
        <v>28</v>
      </c>
      <c r="W113" s="9" t="s">
        <v>427</v>
      </c>
    </row>
    <row r="114" spans="1:23" ht="32.25" customHeight="1" x14ac:dyDescent="0.2">
      <c r="A114" s="23">
        <v>160</v>
      </c>
      <c r="B114" s="9" t="s">
        <v>202</v>
      </c>
      <c r="C114" s="9" t="s">
        <v>623</v>
      </c>
      <c r="D114" s="9" t="s">
        <v>624</v>
      </c>
      <c r="E114" s="9" t="s">
        <v>625</v>
      </c>
      <c r="F114" s="24">
        <v>3</v>
      </c>
      <c r="G114" s="24">
        <v>1</v>
      </c>
      <c r="H114" s="24">
        <v>3</v>
      </c>
      <c r="I114" s="25">
        <v>0</v>
      </c>
      <c r="J114" s="25">
        <v>224.7</v>
      </c>
      <c r="K114" s="26">
        <v>0.33300000000000002</v>
      </c>
      <c r="L114" s="26">
        <v>0.33300000000000002</v>
      </c>
      <c r="M114" s="24">
        <v>10</v>
      </c>
      <c r="N114" s="28" t="s">
        <v>344</v>
      </c>
      <c r="O114" s="28" t="s">
        <v>345</v>
      </c>
      <c r="P114" s="28" t="s">
        <v>344</v>
      </c>
      <c r="Q114" s="28" t="s">
        <v>345</v>
      </c>
      <c r="R114" s="29">
        <f>LN(F114+1)/LN(MAX($F$10:$F$511)+1)*100</f>
        <v>13.975780609514226</v>
      </c>
      <c r="S114" s="29">
        <f>IF(H114=0,0,(K114*0.5+L114*0.5)*100)</f>
        <v>33.300000000000004</v>
      </c>
      <c r="T114" s="29">
        <f>IF(M114="",0,MIN(100,M114/MAX($M$10:$M$511)*100))</f>
        <v>0.13360053440213762</v>
      </c>
      <c r="U114" s="29">
        <f>MIN(100,IF(O114="Yes",50,0)+IF(N114="Yes",30,0)+IF(P114="Yes",20,0))</f>
        <v>50</v>
      </c>
      <c r="V114" s="30">
        <f>ROUND(U114*$C$3+S114*$C$4+T114*$C$5+R114*$C$6,1)</f>
        <v>28</v>
      </c>
      <c r="W114" s="9" t="s">
        <v>388</v>
      </c>
    </row>
    <row r="115" spans="1:23" ht="21.75" customHeight="1" x14ac:dyDescent="0.2">
      <c r="A115" s="23">
        <v>162</v>
      </c>
      <c r="B115" s="9" t="s">
        <v>460</v>
      </c>
      <c r="C115" s="9" t="s">
        <v>575</v>
      </c>
      <c r="D115" s="9"/>
      <c r="E115" s="9" t="s">
        <v>462</v>
      </c>
      <c r="F115" s="24">
        <v>3</v>
      </c>
      <c r="G115" s="24">
        <v>5</v>
      </c>
      <c r="H115" s="24">
        <v>3</v>
      </c>
      <c r="I115" s="25">
        <v>84.5</v>
      </c>
      <c r="J115" s="25">
        <v>111.2</v>
      </c>
      <c r="K115" s="26">
        <v>0.33300000000000002</v>
      </c>
      <c r="L115" s="26">
        <v>0.33300000000000002</v>
      </c>
      <c r="M115" s="24">
        <v>4</v>
      </c>
      <c r="N115" s="28" t="s">
        <v>344</v>
      </c>
      <c r="O115" s="28" t="s">
        <v>345</v>
      </c>
      <c r="P115" s="28" t="s">
        <v>344</v>
      </c>
      <c r="Q115" s="28" t="s">
        <v>345</v>
      </c>
      <c r="R115" s="29">
        <f>LN(F115+1)/LN(MAX($F$10:$F$511)+1)*100</f>
        <v>13.975780609514226</v>
      </c>
      <c r="S115" s="29">
        <f>IF(H115=0,0,(K115*0.5+L115*0.5)*100)</f>
        <v>33.300000000000004</v>
      </c>
      <c r="T115" s="29">
        <f>IF(M115="",0,MIN(100,M115/MAX($M$10:$M$511)*100))</f>
        <v>5.3440213760855046E-2</v>
      </c>
      <c r="U115" s="29">
        <f>MIN(100,IF(O115="Yes",50,0)+IF(N115="Yes",30,0)+IF(P115="Yes",20,0))</f>
        <v>50</v>
      </c>
      <c r="V115" s="30">
        <f>ROUND(U115*$C$3+S115*$C$4+T115*$C$5+R115*$C$6,1)</f>
        <v>27.9</v>
      </c>
      <c r="W115" s="9" t="s">
        <v>627</v>
      </c>
    </row>
    <row r="116" spans="1:23" ht="42.75" customHeight="1" x14ac:dyDescent="0.2">
      <c r="A116" s="23">
        <v>163</v>
      </c>
      <c r="B116" s="9" t="s">
        <v>402</v>
      </c>
      <c r="C116" s="9" t="s">
        <v>559</v>
      </c>
      <c r="D116" s="9" t="s">
        <v>236</v>
      </c>
      <c r="E116" s="9" t="s">
        <v>437</v>
      </c>
      <c r="F116" s="24">
        <v>30</v>
      </c>
      <c r="G116" s="24">
        <v>196</v>
      </c>
      <c r="H116" s="24">
        <v>30</v>
      </c>
      <c r="I116" s="25">
        <v>61.2</v>
      </c>
      <c r="J116" s="25">
        <v>64.3</v>
      </c>
      <c r="K116" s="26">
        <v>0.36699999999999999</v>
      </c>
      <c r="L116" s="26">
        <v>3.3000000000000002E-2</v>
      </c>
      <c r="M116" s="24">
        <v>35</v>
      </c>
      <c r="N116" s="28" t="s">
        <v>344</v>
      </c>
      <c r="O116" s="28" t="s">
        <v>345</v>
      </c>
      <c r="P116" s="28" t="s">
        <v>344</v>
      </c>
      <c r="Q116" s="28" t="s">
        <v>344</v>
      </c>
      <c r="R116" s="29">
        <f>LN(F116+1)/LN(MAX($F$10:$F$511)+1)*100</f>
        <v>34.61938036521591</v>
      </c>
      <c r="S116" s="29">
        <f>IF(H116=0,0,(K116*0.5+L116*0.5)*100)</f>
        <v>20</v>
      </c>
      <c r="T116" s="29">
        <f>IF(M116="",0,MIN(100,M116/MAX($M$10:$M$511)*100))</f>
        <v>0.46760187040748163</v>
      </c>
      <c r="U116" s="29">
        <f>MIN(100,IF(O116="Yes",50,0)+IF(N116="Yes",30,0)+IF(P116="Yes",20,0))</f>
        <v>50</v>
      </c>
      <c r="V116" s="30">
        <f>ROUND(U116*$C$3+S116*$C$4+T116*$C$5+R116*$C$6,1)</f>
        <v>27.8</v>
      </c>
      <c r="W116" s="9" t="s">
        <v>396</v>
      </c>
    </row>
    <row r="117" spans="1:23" ht="32.25" customHeight="1" x14ac:dyDescent="0.2">
      <c r="A117" s="23">
        <v>164</v>
      </c>
      <c r="B117" s="9" t="s">
        <v>280</v>
      </c>
      <c r="C117" s="9" t="s">
        <v>454</v>
      </c>
      <c r="D117" s="9" t="s">
        <v>408</v>
      </c>
      <c r="E117" s="9" t="s">
        <v>343</v>
      </c>
      <c r="F117" s="24">
        <v>5</v>
      </c>
      <c r="G117" s="24">
        <v>26</v>
      </c>
      <c r="H117" s="24">
        <v>5</v>
      </c>
      <c r="I117" s="25">
        <v>90.9</v>
      </c>
      <c r="J117" s="25">
        <v>94.3</v>
      </c>
      <c r="K117" s="26">
        <v>0.6</v>
      </c>
      <c r="L117" s="26">
        <v>0</v>
      </c>
      <c r="M117" s="24">
        <v>2</v>
      </c>
      <c r="N117" s="28" t="s">
        <v>344</v>
      </c>
      <c r="O117" s="28" t="s">
        <v>345</v>
      </c>
      <c r="P117" s="28" t="s">
        <v>344</v>
      </c>
      <c r="Q117" s="28" t="s">
        <v>345</v>
      </c>
      <c r="R117" s="29">
        <f>LN(F117+1)/LN(MAX($F$10:$F$511)+1)*100</f>
        <v>18.063434396950068</v>
      </c>
      <c r="S117" s="29">
        <f>IF(H117=0,0,(K117*0.5+L117*0.5)*100)</f>
        <v>30</v>
      </c>
      <c r="T117" s="29">
        <f>IF(M117="",0,MIN(100,M117/MAX($M$10:$M$511)*100))</f>
        <v>2.6720106880427523E-2</v>
      </c>
      <c r="U117" s="29">
        <f>MIN(100,IF(O117="Yes",50,0)+IF(N117="Yes",30,0)+IF(P117="Yes",20,0))</f>
        <v>50</v>
      </c>
      <c r="V117" s="30">
        <f>ROUND(U117*$C$3+S117*$C$4+T117*$C$5+R117*$C$6,1)</f>
        <v>27.7</v>
      </c>
      <c r="W117" s="9" t="s">
        <v>451</v>
      </c>
    </row>
    <row r="118" spans="1:23" ht="15" customHeight="1" x14ac:dyDescent="0.2">
      <c r="A118" s="23">
        <v>166</v>
      </c>
      <c r="B118" s="9" t="s">
        <v>384</v>
      </c>
      <c r="C118" s="9" t="s">
        <v>630</v>
      </c>
      <c r="D118" s="9" t="s">
        <v>236</v>
      </c>
      <c r="E118" s="9" t="s">
        <v>431</v>
      </c>
      <c r="F118" s="24">
        <v>74</v>
      </c>
      <c r="G118" s="24">
        <v>41</v>
      </c>
      <c r="H118" s="24">
        <v>74</v>
      </c>
      <c r="I118" s="25">
        <v>44.1</v>
      </c>
      <c r="J118" s="25">
        <v>57.3</v>
      </c>
      <c r="K118" s="26">
        <v>0.27</v>
      </c>
      <c r="L118" s="26">
        <v>1.4E-2</v>
      </c>
      <c r="M118" s="24">
        <v>25</v>
      </c>
      <c r="N118" s="28" t="s">
        <v>344</v>
      </c>
      <c r="O118" s="28" t="s">
        <v>345</v>
      </c>
      <c r="P118" s="28" t="s">
        <v>344</v>
      </c>
      <c r="Q118" s="28" t="s">
        <v>344</v>
      </c>
      <c r="R118" s="29">
        <f>LN(F118+1)/LN(MAX($F$10:$F$511)+1)*100</f>
        <v>43.526301737406058</v>
      </c>
      <c r="S118" s="29">
        <f>IF(H118=0,0,(K118*0.5+L118*0.5)*100)</f>
        <v>14.200000000000001</v>
      </c>
      <c r="T118" s="29">
        <f>IF(M118="",0,MIN(100,M118/MAX($M$10:$M$511)*100))</f>
        <v>0.33400133600534404</v>
      </c>
      <c r="U118" s="29">
        <f>MIN(100,IF(O118="Yes",50,0)+IF(N118="Yes",30,0)+IF(P118="Yes",20,0))</f>
        <v>50</v>
      </c>
      <c r="V118" s="30">
        <f>ROUND(U118*$C$3+S118*$C$4+T118*$C$5+R118*$C$6,1)</f>
        <v>27.7</v>
      </c>
      <c r="W118" s="9"/>
    </row>
    <row r="119" spans="1:23" ht="21.75" customHeight="1" x14ac:dyDescent="0.2">
      <c r="A119" s="23">
        <v>12</v>
      </c>
      <c r="B119" s="9" t="s">
        <v>376</v>
      </c>
      <c r="C119" s="9" t="s">
        <v>377</v>
      </c>
      <c r="D119" s="9" t="s">
        <v>224</v>
      </c>
      <c r="E119" s="9" t="s">
        <v>378</v>
      </c>
      <c r="F119" s="24">
        <v>150</v>
      </c>
      <c r="G119" s="24">
        <v>74</v>
      </c>
      <c r="H119" s="24">
        <v>150</v>
      </c>
      <c r="I119" s="25">
        <v>0.7</v>
      </c>
      <c r="J119" s="25">
        <v>37.4</v>
      </c>
      <c r="K119" s="26">
        <v>0.113</v>
      </c>
      <c r="L119" s="26">
        <v>8.6999999999999994E-2</v>
      </c>
      <c r="M119" s="27"/>
      <c r="N119" s="28" t="s">
        <v>344</v>
      </c>
      <c r="O119" s="28" t="s">
        <v>345</v>
      </c>
      <c r="P119" s="28" t="s">
        <v>344</v>
      </c>
      <c r="Q119" s="28" t="s">
        <v>345</v>
      </c>
      <c r="R119" s="29">
        <f>LN(F119+1)/LN(MAX($F$10:$F$511)+1)*100</f>
        <v>50.58117829983766</v>
      </c>
      <c r="S119" s="29">
        <f>IF(H119=0,0,(K119*0.5+L119*0.5)*100)</f>
        <v>10</v>
      </c>
      <c r="T119" s="29">
        <f>IF(M119="",0,MIN(100,M119/MAX($M$10:$M$511)*100))</f>
        <v>0</v>
      </c>
      <c r="U119" s="29">
        <f>MIN(100,IF(O119="Yes",50,0)+IF(N119="Yes",30,0)+IF(P119="Yes",20,0))</f>
        <v>50</v>
      </c>
      <c r="V119" s="30">
        <f>ROUND(U119*$C$3+S119*$C$4+T119*$C$5+R119*$C$6,1)</f>
        <v>27.6</v>
      </c>
      <c r="W119" s="9" t="s">
        <v>379</v>
      </c>
    </row>
    <row r="120" spans="1:23" ht="21.75" customHeight="1" x14ac:dyDescent="0.2">
      <c r="A120" s="23">
        <v>167</v>
      </c>
      <c r="B120" s="9" t="s">
        <v>416</v>
      </c>
      <c r="C120" s="9" t="s">
        <v>631</v>
      </c>
      <c r="D120" s="9" t="s">
        <v>632</v>
      </c>
      <c r="E120" s="9" t="s">
        <v>418</v>
      </c>
      <c r="F120" s="24">
        <v>4</v>
      </c>
      <c r="G120" s="24">
        <v>22</v>
      </c>
      <c r="H120" s="24">
        <v>4</v>
      </c>
      <c r="I120" s="25">
        <v>362.6</v>
      </c>
      <c r="J120" s="25">
        <v>357.3</v>
      </c>
      <c r="K120" s="26">
        <v>1</v>
      </c>
      <c r="L120" s="26">
        <v>1</v>
      </c>
      <c r="M120" s="24">
        <v>17</v>
      </c>
      <c r="N120" s="31"/>
      <c r="O120" s="28" t="s">
        <v>345</v>
      </c>
      <c r="P120" s="28"/>
      <c r="Q120" s="28" t="s">
        <v>344</v>
      </c>
      <c r="R120" s="29">
        <f>LN(F120+1)/LN(MAX($F$10:$F$511)+1)*100</f>
        <v>16.225378822606551</v>
      </c>
      <c r="S120" s="29">
        <f>IF(H120=0,0,(K120*0.5+L120*0.5)*100)</f>
        <v>100</v>
      </c>
      <c r="T120" s="29">
        <f>IF(M120="",0,MIN(100,M120/MAX($M$10:$M$511)*100))</f>
        <v>0.22712090848363395</v>
      </c>
      <c r="U120" s="29">
        <f>MIN(100,IF(O120="Yes",50,0)+IF(N120="Yes",30,0)+IF(P120="Yes",20,0))</f>
        <v>0</v>
      </c>
      <c r="V120" s="30">
        <f>ROUND(U120*$C$3+S120*$C$4+T120*$C$5+R120*$C$6,1)</f>
        <v>27.5</v>
      </c>
      <c r="W120" s="9" t="s">
        <v>597</v>
      </c>
    </row>
    <row r="121" spans="1:23" ht="21.75" customHeight="1" x14ac:dyDescent="0.2">
      <c r="A121" s="23">
        <v>13</v>
      </c>
      <c r="B121" s="9" t="s">
        <v>202</v>
      </c>
      <c r="C121" s="9" t="s">
        <v>380</v>
      </c>
      <c r="D121" s="9"/>
      <c r="E121" s="9" t="s">
        <v>381</v>
      </c>
      <c r="F121" s="24">
        <v>43</v>
      </c>
      <c r="G121" s="24">
        <v>32</v>
      </c>
      <c r="H121" s="24">
        <v>43</v>
      </c>
      <c r="I121" s="25">
        <v>15.1</v>
      </c>
      <c r="J121" s="25">
        <v>54.6</v>
      </c>
      <c r="K121" s="26">
        <v>0.186</v>
      </c>
      <c r="L121" s="26">
        <v>0.14000000000000001</v>
      </c>
      <c r="M121" s="27"/>
      <c r="N121" s="28" t="s">
        <v>344</v>
      </c>
      <c r="O121" s="28" t="s">
        <v>345</v>
      </c>
      <c r="P121" s="28" t="s">
        <v>344</v>
      </c>
      <c r="Q121" s="28" t="s">
        <v>345</v>
      </c>
      <c r="R121" s="29">
        <f>LN(F121+1)/LN(MAX($F$10:$F$511)+1)*100</f>
        <v>38.149909277360003</v>
      </c>
      <c r="S121" s="29">
        <f>IF(H121=0,0,(K121*0.5+L121*0.5)*100)</f>
        <v>16.3</v>
      </c>
      <c r="T121" s="29">
        <f>IF(M121="",0,MIN(100,M121/MAX($M$10:$M$511)*100))</f>
        <v>0</v>
      </c>
      <c r="U121" s="29">
        <f>MIN(100,IF(O121="Yes",50,0)+IF(N121="Yes",30,0)+IF(P121="Yes",20,0))</f>
        <v>50</v>
      </c>
      <c r="V121" s="30">
        <f>ROUND(U121*$C$3+S121*$C$4+T121*$C$5+R121*$C$6,1)</f>
        <v>27.3</v>
      </c>
      <c r="W121" s="9" t="s">
        <v>375</v>
      </c>
    </row>
    <row r="122" spans="1:23" ht="21.75" customHeight="1" x14ac:dyDescent="0.2">
      <c r="A122" s="23">
        <v>169</v>
      </c>
      <c r="B122" s="9" t="s">
        <v>248</v>
      </c>
      <c r="C122" s="9" t="s">
        <v>636</v>
      </c>
      <c r="D122" s="9" t="s">
        <v>637</v>
      </c>
      <c r="E122" s="9" t="s">
        <v>565</v>
      </c>
      <c r="F122" s="24">
        <v>17</v>
      </c>
      <c r="G122" s="24">
        <v>20</v>
      </c>
      <c r="H122" s="24">
        <v>17</v>
      </c>
      <c r="I122" s="25">
        <v>240.1</v>
      </c>
      <c r="J122" s="25">
        <v>234.3</v>
      </c>
      <c r="K122" s="26">
        <v>1</v>
      </c>
      <c r="L122" s="26">
        <v>0.82399999999999995</v>
      </c>
      <c r="M122" s="24">
        <v>51</v>
      </c>
      <c r="N122" s="31"/>
      <c r="O122" s="28" t="s">
        <v>345</v>
      </c>
      <c r="P122" s="28"/>
      <c r="Q122" s="28" t="s">
        <v>344</v>
      </c>
      <c r="R122" s="29">
        <f>LN(F122+1)/LN(MAX($F$10:$F$511)+1)*100</f>
        <v>29.138978489143025</v>
      </c>
      <c r="S122" s="29">
        <f>IF(H122=0,0,(K122*0.5+L122*0.5)*100)</f>
        <v>91.199999999999989</v>
      </c>
      <c r="T122" s="29">
        <f>IF(M122="",0,MIN(100,M122/MAX($M$10:$M$511)*100))</f>
        <v>0.68136272545090182</v>
      </c>
      <c r="U122" s="29">
        <f>MIN(100,IF(O122="Yes",50,0)+IF(N122="Yes",30,0)+IF(P122="Yes",20,0))</f>
        <v>0</v>
      </c>
      <c r="V122" s="30">
        <f>ROUND(U122*$C$3+S122*$C$4+T122*$C$5+R122*$C$6,1)</f>
        <v>27.3</v>
      </c>
      <c r="W122" s="9" t="s">
        <v>370</v>
      </c>
    </row>
    <row r="123" spans="1:23" ht="21.75" customHeight="1" x14ac:dyDescent="0.2">
      <c r="A123" s="23">
        <v>170</v>
      </c>
      <c r="B123" s="9" t="s">
        <v>384</v>
      </c>
      <c r="C123" s="9" t="s">
        <v>638</v>
      </c>
      <c r="D123" s="9" t="s">
        <v>572</v>
      </c>
      <c r="E123" s="9" t="s">
        <v>431</v>
      </c>
      <c r="F123" s="24">
        <v>80</v>
      </c>
      <c r="G123" s="24">
        <v>48</v>
      </c>
      <c r="H123" s="24">
        <v>80</v>
      </c>
      <c r="I123" s="25">
        <v>60.4</v>
      </c>
      <c r="J123" s="25">
        <v>71.099999999999994</v>
      </c>
      <c r="K123" s="26">
        <v>0.17499999999999999</v>
      </c>
      <c r="L123" s="26">
        <v>0.05</v>
      </c>
      <c r="M123" s="24">
        <v>113</v>
      </c>
      <c r="N123" s="28" t="s">
        <v>344</v>
      </c>
      <c r="O123" s="28" t="s">
        <v>345</v>
      </c>
      <c r="P123" s="28" t="s">
        <v>344</v>
      </c>
      <c r="Q123" s="28" t="s">
        <v>344</v>
      </c>
      <c r="R123" s="29">
        <f>LN(F123+1)/LN(MAX($F$10:$F$511)+1)*100</f>
        <v>44.302176368771825</v>
      </c>
      <c r="S123" s="29">
        <f>IF(H123=0,0,(K123*0.5+L123*0.5)*100)</f>
        <v>11.249999999999998</v>
      </c>
      <c r="T123" s="29">
        <f>IF(M123="",0,MIN(100,M123/MAX($M$10:$M$511)*100))</f>
        <v>1.5096860387441549</v>
      </c>
      <c r="U123" s="29">
        <f>MIN(100,IF(O123="Yes",50,0)+IF(N123="Yes",30,0)+IF(P123="Yes",20,0))</f>
        <v>50</v>
      </c>
      <c r="V123" s="30">
        <f>ROUND(U123*$C$3+S123*$C$4+T123*$C$5+R123*$C$6,1)</f>
        <v>27.3</v>
      </c>
      <c r="W123" s="9" t="s">
        <v>396</v>
      </c>
    </row>
    <row r="124" spans="1:23" ht="21.75" customHeight="1" x14ac:dyDescent="0.2">
      <c r="A124" s="23">
        <v>171</v>
      </c>
      <c r="B124" s="9" t="s">
        <v>384</v>
      </c>
      <c r="C124" s="9" t="s">
        <v>639</v>
      </c>
      <c r="D124" s="9" t="s">
        <v>218</v>
      </c>
      <c r="E124" s="9" t="s">
        <v>431</v>
      </c>
      <c r="F124" s="24">
        <v>123</v>
      </c>
      <c r="G124" s="24">
        <v>90</v>
      </c>
      <c r="H124" s="24">
        <v>123</v>
      </c>
      <c r="I124" s="25">
        <v>14.1</v>
      </c>
      <c r="J124" s="25">
        <v>43.5</v>
      </c>
      <c r="K124" s="26">
        <v>0.13800000000000001</v>
      </c>
      <c r="L124" s="26">
        <v>5.7000000000000002E-2</v>
      </c>
      <c r="M124" s="24">
        <v>24</v>
      </c>
      <c r="N124" s="28" t="s">
        <v>344</v>
      </c>
      <c r="O124" s="28" t="s">
        <v>345</v>
      </c>
      <c r="P124" s="28" t="s">
        <v>344</v>
      </c>
      <c r="Q124" s="28" t="s">
        <v>345</v>
      </c>
      <c r="R124" s="29">
        <f>LN(F124+1)/LN(MAX($F$10:$F$511)+1)*100</f>
        <v>48.595160974730135</v>
      </c>
      <c r="S124" s="29">
        <f>IF(H124=0,0,(K124*0.5+L124*0.5)*100)</f>
        <v>9.75</v>
      </c>
      <c r="T124" s="29">
        <f>IF(M124="",0,MIN(100,M124/MAX($M$10:$M$511)*100))</f>
        <v>0.32064128256513025</v>
      </c>
      <c r="U124" s="29">
        <f>MIN(100,IF(O124="Yes",50,0)+IF(N124="Yes",30,0)+IF(P124="Yes",20,0))</f>
        <v>50</v>
      </c>
      <c r="V124" s="30">
        <f>ROUND(U124*$C$3+S124*$C$4+T124*$C$5+R124*$C$6,1)</f>
        <v>27.3</v>
      </c>
      <c r="W124" s="9"/>
    </row>
    <row r="125" spans="1:23" ht="21.75" customHeight="1" x14ac:dyDescent="0.2">
      <c r="A125" s="23">
        <v>172</v>
      </c>
      <c r="B125" s="9" t="s">
        <v>384</v>
      </c>
      <c r="C125" s="9" t="s">
        <v>527</v>
      </c>
      <c r="D125" s="9" t="s">
        <v>490</v>
      </c>
      <c r="E125" s="9" t="s">
        <v>415</v>
      </c>
      <c r="F125" s="24">
        <v>15</v>
      </c>
      <c r="G125" s="24">
        <v>80</v>
      </c>
      <c r="H125" s="24">
        <v>15</v>
      </c>
      <c r="I125" s="25">
        <v>76.8</v>
      </c>
      <c r="J125" s="25">
        <v>87.6</v>
      </c>
      <c r="K125" s="26">
        <v>0.33300000000000002</v>
      </c>
      <c r="L125" s="26">
        <v>6.7000000000000004E-2</v>
      </c>
      <c r="M125" s="24">
        <v>165</v>
      </c>
      <c r="N125" s="28" t="s">
        <v>344</v>
      </c>
      <c r="O125" s="28" t="s">
        <v>345</v>
      </c>
      <c r="P125" s="28" t="s">
        <v>344</v>
      </c>
      <c r="Q125" s="28" t="s">
        <v>345</v>
      </c>
      <c r="R125" s="29">
        <f>LN(F125+1)/LN(MAX($F$10:$F$511)+1)*100</f>
        <v>27.951561219028452</v>
      </c>
      <c r="S125" s="29">
        <f>IF(H125=0,0,(K125*0.5+L125*0.5)*100)</f>
        <v>20</v>
      </c>
      <c r="T125" s="29">
        <f>IF(M125="",0,MIN(100,M125/MAX($M$10:$M$511)*100))</f>
        <v>2.2044088176352705</v>
      </c>
      <c r="U125" s="29">
        <f>MIN(100,IF(O125="Yes",50,0)+IF(N125="Yes",30,0)+IF(P125="Yes",20,0))</f>
        <v>50</v>
      </c>
      <c r="V125" s="30">
        <f>ROUND(U125*$C$3+S125*$C$4+T125*$C$5+R125*$C$6,1)</f>
        <v>27.2</v>
      </c>
      <c r="W125" s="9" t="s">
        <v>396</v>
      </c>
    </row>
    <row r="126" spans="1:23" ht="32.25" customHeight="1" x14ac:dyDescent="0.2">
      <c r="A126" s="23">
        <v>173</v>
      </c>
      <c r="B126" s="9" t="s">
        <v>202</v>
      </c>
      <c r="C126" s="9" t="s">
        <v>640</v>
      </c>
      <c r="D126" s="9" t="s">
        <v>624</v>
      </c>
      <c r="E126" s="9" t="s">
        <v>625</v>
      </c>
      <c r="F126" s="24">
        <v>31</v>
      </c>
      <c r="G126" s="24">
        <v>27</v>
      </c>
      <c r="H126" s="24">
        <v>31</v>
      </c>
      <c r="I126" s="25">
        <v>50.5</v>
      </c>
      <c r="J126" s="25">
        <v>78.3</v>
      </c>
      <c r="K126" s="26">
        <v>0.22600000000000001</v>
      </c>
      <c r="L126" s="26">
        <v>0.129</v>
      </c>
      <c r="M126" s="24">
        <v>12</v>
      </c>
      <c r="N126" s="28" t="s">
        <v>344</v>
      </c>
      <c r="O126" s="28" t="s">
        <v>345</v>
      </c>
      <c r="P126" s="28" t="s">
        <v>344</v>
      </c>
      <c r="Q126" s="28" t="s">
        <v>345</v>
      </c>
      <c r="R126" s="29">
        <f>LN(F126+1)/LN(MAX($F$10:$F$511)+1)*100</f>
        <v>34.939451523785564</v>
      </c>
      <c r="S126" s="29">
        <f>IF(H126=0,0,(K126*0.5+L126*0.5)*100)</f>
        <v>17.75</v>
      </c>
      <c r="T126" s="29">
        <f>IF(M126="",0,MIN(100,M126/MAX($M$10:$M$511)*100))</f>
        <v>0.16032064128256512</v>
      </c>
      <c r="U126" s="29">
        <f>MIN(100,IF(O126="Yes",50,0)+IF(N126="Yes",30,0)+IF(P126="Yes",20,0))</f>
        <v>50</v>
      </c>
      <c r="V126" s="30">
        <f>ROUND(U126*$C$3+S126*$C$4+T126*$C$5+R126*$C$6,1)</f>
        <v>27.2</v>
      </c>
      <c r="W126" s="9"/>
    </row>
    <row r="127" spans="1:23" ht="21.75" customHeight="1" x14ac:dyDescent="0.2">
      <c r="A127" s="23">
        <v>174</v>
      </c>
      <c r="B127" s="9" t="s">
        <v>402</v>
      </c>
      <c r="C127" s="9" t="s">
        <v>641</v>
      </c>
      <c r="D127" s="9" t="s">
        <v>404</v>
      </c>
      <c r="E127" s="9" t="s">
        <v>405</v>
      </c>
      <c r="F127" s="24">
        <v>43</v>
      </c>
      <c r="G127" s="27"/>
      <c r="H127" s="24">
        <v>43</v>
      </c>
      <c r="I127" s="25">
        <v>56.9</v>
      </c>
      <c r="J127" s="25">
        <v>79.3</v>
      </c>
      <c r="K127" s="26">
        <v>0.23300000000000001</v>
      </c>
      <c r="L127" s="26">
        <v>7.0000000000000007E-2</v>
      </c>
      <c r="M127" s="24">
        <v>27</v>
      </c>
      <c r="N127" s="28" t="s">
        <v>344</v>
      </c>
      <c r="O127" s="28" t="s">
        <v>345</v>
      </c>
      <c r="P127" s="28" t="s">
        <v>344</v>
      </c>
      <c r="Q127" s="28" t="s">
        <v>345</v>
      </c>
      <c r="R127" s="29">
        <f>LN(F127+1)/LN(MAX($F$10:$F$511)+1)*100</f>
        <v>38.149909277360003</v>
      </c>
      <c r="S127" s="29">
        <f>IF(H127=0,0,(K127*0.5+L127*0.5)*100)</f>
        <v>15.150000000000002</v>
      </c>
      <c r="T127" s="29">
        <f>IF(M127="",0,MIN(100,M127/MAX($M$10:$M$511)*100))</f>
        <v>0.36072144288577157</v>
      </c>
      <c r="U127" s="29">
        <f>MIN(100,IF(O127="Yes",50,0)+IF(N127="Yes",30,0)+IF(P127="Yes",20,0))</f>
        <v>50</v>
      </c>
      <c r="V127" s="30">
        <f>ROUND(U127*$C$3+S127*$C$4+T127*$C$5+R127*$C$6,1)</f>
        <v>27.1</v>
      </c>
      <c r="W127" s="9" t="s">
        <v>475</v>
      </c>
    </row>
    <row r="128" spans="1:23" ht="21.75" customHeight="1" x14ac:dyDescent="0.2">
      <c r="A128" s="23">
        <v>178</v>
      </c>
      <c r="B128" s="9" t="s">
        <v>280</v>
      </c>
      <c r="C128" s="9" t="s">
        <v>645</v>
      </c>
      <c r="D128" s="9" t="s">
        <v>646</v>
      </c>
      <c r="E128" s="9" t="s">
        <v>343</v>
      </c>
      <c r="F128" s="24">
        <v>24</v>
      </c>
      <c r="G128" s="24">
        <v>59</v>
      </c>
      <c r="H128" s="24">
        <v>24</v>
      </c>
      <c r="I128" s="25">
        <v>59.1</v>
      </c>
      <c r="J128" s="25">
        <v>71.3</v>
      </c>
      <c r="K128" s="26">
        <v>0.29199999999999998</v>
      </c>
      <c r="L128" s="26">
        <v>8.3000000000000004E-2</v>
      </c>
      <c r="M128" s="24">
        <v>3</v>
      </c>
      <c r="N128" s="28" t="s">
        <v>344</v>
      </c>
      <c r="O128" s="28" t="s">
        <v>345</v>
      </c>
      <c r="P128" s="28" t="s">
        <v>344</v>
      </c>
      <c r="Q128" s="28" t="s">
        <v>345</v>
      </c>
      <c r="R128" s="29">
        <f>LN(F128+1)/LN(MAX($F$10:$F$511)+1)*100</f>
        <v>32.450757645213102</v>
      </c>
      <c r="S128" s="29">
        <f>IF(H128=0,0,(K128*0.5+L128*0.5)*100)</f>
        <v>18.75</v>
      </c>
      <c r="T128" s="29">
        <f>IF(M128="",0,MIN(100,M128/MAX($M$10:$M$511)*100))</f>
        <v>4.0080160320641281E-2</v>
      </c>
      <c r="U128" s="29">
        <f>MIN(100,IF(O128="Yes",50,0)+IF(N128="Yes",30,0)+IF(P128="Yes",20,0))</f>
        <v>50</v>
      </c>
      <c r="V128" s="30">
        <f>ROUND(U128*$C$3+S128*$C$4+T128*$C$5+R128*$C$6,1)</f>
        <v>27.1</v>
      </c>
      <c r="W128" s="9"/>
    </row>
    <row r="129" spans="1:23" ht="42.75" customHeight="1" x14ac:dyDescent="0.2">
      <c r="A129" s="23">
        <v>179</v>
      </c>
      <c r="B129" s="9" t="s">
        <v>280</v>
      </c>
      <c r="C129" s="9" t="s">
        <v>492</v>
      </c>
      <c r="D129" s="9" t="s">
        <v>647</v>
      </c>
      <c r="E129" s="9" t="s">
        <v>488</v>
      </c>
      <c r="F129" s="24">
        <v>14</v>
      </c>
      <c r="G129" s="24">
        <v>37</v>
      </c>
      <c r="H129" s="24">
        <v>14</v>
      </c>
      <c r="I129" s="25">
        <v>42.9</v>
      </c>
      <c r="J129" s="25">
        <v>83.8</v>
      </c>
      <c r="K129" s="26">
        <v>0.35699999999999998</v>
      </c>
      <c r="L129" s="26">
        <v>7.0999999999999994E-2</v>
      </c>
      <c r="M129" s="24">
        <v>17</v>
      </c>
      <c r="N129" s="28" t="s">
        <v>344</v>
      </c>
      <c r="O129" s="28" t="s">
        <v>345</v>
      </c>
      <c r="P129" s="28" t="s">
        <v>344</v>
      </c>
      <c r="Q129" s="28" t="s">
        <v>345</v>
      </c>
      <c r="R129" s="29">
        <f>LN(F129+1)/LN(MAX($F$10:$F$511)+1)*100</f>
        <v>27.300922914799507</v>
      </c>
      <c r="S129" s="29">
        <f>IF(H129=0,0,(K129*0.5+L129*0.5)*100)</f>
        <v>21.4</v>
      </c>
      <c r="T129" s="29">
        <f>IF(M129="",0,MIN(100,M129/MAX($M$10:$M$511)*100))</f>
        <v>0.22712090848363395</v>
      </c>
      <c r="U129" s="29">
        <f>MIN(100,IF(O129="Yes",50,0)+IF(N129="Yes",30,0)+IF(P129="Yes",20,0))</f>
        <v>50</v>
      </c>
      <c r="V129" s="30">
        <f>ROUND(U129*$C$3+S129*$C$4+T129*$C$5+R129*$C$6,1)</f>
        <v>27</v>
      </c>
      <c r="W129" s="9" t="s">
        <v>396</v>
      </c>
    </row>
    <row r="130" spans="1:23" ht="21.75" customHeight="1" x14ac:dyDescent="0.2">
      <c r="A130" s="23">
        <v>180</v>
      </c>
      <c r="B130" s="9" t="s">
        <v>384</v>
      </c>
      <c r="C130" s="9" t="s">
        <v>610</v>
      </c>
      <c r="D130" s="9" t="s">
        <v>648</v>
      </c>
      <c r="E130" s="9" t="s">
        <v>415</v>
      </c>
      <c r="F130" s="24">
        <v>120</v>
      </c>
      <c r="G130" s="24">
        <v>777</v>
      </c>
      <c r="H130" s="24">
        <v>120</v>
      </c>
      <c r="I130" s="25">
        <v>34.299999999999997</v>
      </c>
      <c r="J130" s="25">
        <v>45.8</v>
      </c>
      <c r="K130" s="26">
        <v>0.11700000000000001</v>
      </c>
      <c r="L130" s="26">
        <v>3.3000000000000002E-2</v>
      </c>
      <c r="M130" s="24">
        <v>74</v>
      </c>
      <c r="N130" s="28" t="s">
        <v>344</v>
      </c>
      <c r="O130" s="28" t="s">
        <v>345</v>
      </c>
      <c r="P130" s="28" t="s">
        <v>344</v>
      </c>
      <c r="Q130" s="28" t="s">
        <v>345</v>
      </c>
      <c r="R130" s="29">
        <f>LN(F130+1)/LN(MAX($F$10:$F$511)+1)*100</f>
        <v>48.348257335691549</v>
      </c>
      <c r="S130" s="29">
        <f>IF(H130=0,0,(K130*0.5+L130*0.5)*100)</f>
        <v>7.5000000000000009</v>
      </c>
      <c r="T130" s="29">
        <f>IF(M130="",0,MIN(100,M130/MAX($M$10:$M$511)*100))</f>
        <v>0.98864395457581833</v>
      </c>
      <c r="U130" s="29">
        <f>MIN(100,IF(O130="Yes",50,0)+IF(N130="Yes",30,0)+IF(P130="Yes",20,0))</f>
        <v>50</v>
      </c>
      <c r="V130" s="30">
        <f>ROUND(U130*$C$3+S130*$C$4+T130*$C$5+R130*$C$6,1)</f>
        <v>26.9</v>
      </c>
      <c r="W130" s="9"/>
    </row>
    <row r="131" spans="1:23" ht="21.75" customHeight="1" x14ac:dyDescent="0.2">
      <c r="A131" s="23">
        <v>181</v>
      </c>
      <c r="B131" s="9" t="s">
        <v>366</v>
      </c>
      <c r="C131" s="9" t="s">
        <v>649</v>
      </c>
      <c r="D131" s="9" t="s">
        <v>650</v>
      </c>
      <c r="E131" s="9" t="s">
        <v>651</v>
      </c>
      <c r="F131" s="24">
        <v>152</v>
      </c>
      <c r="G131" s="24">
        <v>90</v>
      </c>
      <c r="H131" s="24">
        <v>152</v>
      </c>
      <c r="I131" s="25">
        <v>36.5</v>
      </c>
      <c r="J131" s="25">
        <v>52.3</v>
      </c>
      <c r="K131" s="26">
        <v>8.5999999999999993E-2</v>
      </c>
      <c r="L131" s="26">
        <v>2.5999999999999999E-2</v>
      </c>
      <c r="M131" s="24">
        <v>95</v>
      </c>
      <c r="N131" s="31"/>
      <c r="O131" s="32" t="s">
        <v>344</v>
      </c>
      <c r="P131" s="28"/>
      <c r="Q131" s="28" t="s">
        <v>345</v>
      </c>
      <c r="R131" s="29">
        <f>LN(F131+1)/LN(MAX($F$10:$F$511)+1)*100</f>
        <v>50.713830143814121</v>
      </c>
      <c r="S131" s="29">
        <f>IF(H131=0,0,(K131*0.5+L131*0.5)*100)</f>
        <v>5.6</v>
      </c>
      <c r="T131" s="29">
        <f>IF(M131="",0,MIN(100,M131/MAX($M$10:$M$511)*100))</f>
        <v>1.2692050768203071</v>
      </c>
      <c r="U131" s="29">
        <f>MIN(100,IF(O131="Yes",50,0)+IF(N131="Yes",30,0)+IF(P131="Yes",20,0))</f>
        <v>50</v>
      </c>
      <c r="V131" s="30">
        <f>ROUND(U131*$C$3+S131*$C$4+T131*$C$5+R131*$C$6,1)</f>
        <v>26.8</v>
      </c>
      <c r="W131" s="9" t="s">
        <v>652</v>
      </c>
    </row>
    <row r="132" spans="1:23" ht="32.25" customHeight="1" x14ac:dyDescent="0.2">
      <c r="A132" s="23">
        <v>14</v>
      </c>
      <c r="B132" s="9" t="s">
        <v>372</v>
      </c>
      <c r="C132" s="9" t="s">
        <v>382</v>
      </c>
      <c r="D132" s="9"/>
      <c r="E132" s="9" t="s">
        <v>374</v>
      </c>
      <c r="F132" s="24">
        <v>418</v>
      </c>
      <c r="G132" s="24">
        <v>252</v>
      </c>
      <c r="H132" s="24">
        <v>418</v>
      </c>
      <c r="I132" s="25">
        <v>0</v>
      </c>
      <c r="J132" s="25">
        <v>1.1000000000000001</v>
      </c>
      <c r="K132" s="26">
        <v>5.0000000000000001E-3</v>
      </c>
      <c r="L132" s="26">
        <v>2E-3</v>
      </c>
      <c r="M132" s="27"/>
      <c r="N132" s="28" t="s">
        <v>344</v>
      </c>
      <c r="O132" s="28" t="s">
        <v>345</v>
      </c>
      <c r="P132" s="28" t="s">
        <v>344</v>
      </c>
      <c r="Q132" s="28" t="s">
        <v>345</v>
      </c>
      <c r="R132" s="29">
        <f>LN(F132+1)/LN(MAX($F$10:$F$511)+1)*100</f>
        <v>60.870159824663581</v>
      </c>
      <c r="S132" s="29">
        <f>IF(H132=0,0,(K132*0.5+L132*0.5)*100)</f>
        <v>0.35000000000000003</v>
      </c>
      <c r="T132" s="29">
        <f>IF(M132="",0,MIN(100,M132/MAX($M$10:$M$511)*100))</f>
        <v>0</v>
      </c>
      <c r="U132" s="29">
        <f>MIN(100,IF(O132="Yes",50,0)+IF(N132="Yes",30,0)+IF(P132="Yes",20,0))</f>
        <v>50</v>
      </c>
      <c r="V132" s="30">
        <f>ROUND(U132*$C$3+S132*$C$4+T132*$C$5+R132*$C$6,1)</f>
        <v>26.7</v>
      </c>
      <c r="W132" s="9" t="s">
        <v>375</v>
      </c>
    </row>
    <row r="133" spans="1:23" ht="21.75" customHeight="1" x14ac:dyDescent="0.2">
      <c r="A133" s="23">
        <v>15</v>
      </c>
      <c r="B133" s="9" t="s">
        <v>372</v>
      </c>
      <c r="C133" s="9" t="s">
        <v>383</v>
      </c>
      <c r="D133" s="9"/>
      <c r="E133" s="9" t="s">
        <v>374</v>
      </c>
      <c r="F133" s="24">
        <v>213</v>
      </c>
      <c r="G133" s="24">
        <v>109</v>
      </c>
      <c r="H133" s="24">
        <v>213</v>
      </c>
      <c r="I133" s="25">
        <v>0.5</v>
      </c>
      <c r="J133" s="25">
        <v>15.8</v>
      </c>
      <c r="K133" s="26">
        <v>4.2000000000000003E-2</v>
      </c>
      <c r="L133" s="26">
        <v>2.8000000000000001E-2</v>
      </c>
      <c r="M133" s="27"/>
      <c r="N133" s="28" t="s">
        <v>344</v>
      </c>
      <c r="O133" s="28" t="s">
        <v>345</v>
      </c>
      <c r="P133" s="28" t="s">
        <v>344</v>
      </c>
      <c r="Q133" s="28" t="s">
        <v>345</v>
      </c>
      <c r="R133" s="29">
        <f>LN(F133+1)/LN(MAX($F$10:$F$511)+1)*100</f>
        <v>54.096522098869841</v>
      </c>
      <c r="S133" s="29">
        <f>IF(H133=0,0,(K133*0.5+L133*0.5)*100)</f>
        <v>3.5000000000000004</v>
      </c>
      <c r="T133" s="29">
        <f>IF(M133="",0,MIN(100,M133/MAX($M$10:$M$511)*100))</f>
        <v>0</v>
      </c>
      <c r="U133" s="29">
        <f>MIN(100,IF(O133="Yes",50,0)+IF(N133="Yes",30,0)+IF(P133="Yes",20,0))</f>
        <v>50</v>
      </c>
      <c r="V133" s="30">
        <f>ROUND(U133*$C$3+S133*$C$4+T133*$C$5+R133*$C$6,1)</f>
        <v>26.5</v>
      </c>
      <c r="W133" s="9" t="s">
        <v>375</v>
      </c>
    </row>
    <row r="134" spans="1:23" ht="21.75" customHeight="1" x14ac:dyDescent="0.2">
      <c r="A134" s="23">
        <v>183</v>
      </c>
      <c r="B134" s="9" t="s">
        <v>384</v>
      </c>
      <c r="C134" s="9" t="s">
        <v>655</v>
      </c>
      <c r="D134" s="9" t="s">
        <v>656</v>
      </c>
      <c r="E134" s="9" t="s">
        <v>657</v>
      </c>
      <c r="F134" s="24">
        <v>1</v>
      </c>
      <c r="G134" s="24">
        <v>67</v>
      </c>
      <c r="H134" s="24">
        <v>1</v>
      </c>
      <c r="I134" s="25">
        <v>259.8</v>
      </c>
      <c r="J134" s="25">
        <v>259.8</v>
      </c>
      <c r="K134" s="26">
        <v>1</v>
      </c>
      <c r="L134" s="26">
        <v>1</v>
      </c>
      <c r="M134" s="24">
        <v>108</v>
      </c>
      <c r="N134" s="31"/>
      <c r="O134" s="28" t="s">
        <v>345</v>
      </c>
      <c r="P134" s="28"/>
      <c r="Q134" s="28" t="s">
        <v>345</v>
      </c>
      <c r="R134" s="29">
        <f>LN(F134+1)/LN(MAX($F$10:$F$511)+1)*100</f>
        <v>6.987890304757113</v>
      </c>
      <c r="S134" s="29">
        <f>IF(H134=0,0,(K134*0.5+L134*0.5)*100)</f>
        <v>100</v>
      </c>
      <c r="T134" s="29">
        <f>IF(M134="",0,MIN(100,M134/MAX($M$10:$M$511)*100))</f>
        <v>1.4428857715430863</v>
      </c>
      <c r="U134" s="29">
        <f>MIN(100,IF(O134="Yes",50,0)+IF(N134="Yes",30,0)+IF(P134="Yes",20,0))</f>
        <v>0</v>
      </c>
      <c r="V134" s="30">
        <f>ROUND(U134*$C$3+S134*$C$4+T134*$C$5+R134*$C$6,1)</f>
        <v>26.4</v>
      </c>
      <c r="W134" s="9" t="s">
        <v>597</v>
      </c>
    </row>
    <row r="135" spans="1:23" ht="21.75" customHeight="1" x14ac:dyDescent="0.2">
      <c r="A135" s="23">
        <v>184</v>
      </c>
      <c r="B135" s="9" t="s">
        <v>384</v>
      </c>
      <c r="C135" s="9" t="s">
        <v>527</v>
      </c>
      <c r="D135" s="9" t="s">
        <v>414</v>
      </c>
      <c r="E135" s="9" t="s">
        <v>415</v>
      </c>
      <c r="F135" s="24">
        <v>21</v>
      </c>
      <c r="G135" s="24">
        <v>80</v>
      </c>
      <c r="H135" s="24">
        <v>21</v>
      </c>
      <c r="I135" s="25">
        <v>72</v>
      </c>
      <c r="J135" s="25">
        <v>81.8</v>
      </c>
      <c r="K135" s="26">
        <v>0.23799999999999999</v>
      </c>
      <c r="L135" s="26">
        <v>4.8000000000000001E-2</v>
      </c>
      <c r="M135" s="24">
        <v>165</v>
      </c>
      <c r="N135" s="28" t="s">
        <v>344</v>
      </c>
      <c r="O135" s="28" t="s">
        <v>345</v>
      </c>
      <c r="P135" s="28" t="s">
        <v>344</v>
      </c>
      <c r="Q135" s="28" t="s">
        <v>345</v>
      </c>
      <c r="R135" s="29">
        <f>LN(F135+1)/LN(MAX($F$10:$F$511)+1)*100</f>
        <v>31.16201897260289</v>
      </c>
      <c r="S135" s="29">
        <f>IF(H135=0,0,(K135*0.5+L135*0.5)*100)</f>
        <v>14.299999999999999</v>
      </c>
      <c r="T135" s="29">
        <f>IF(M135="",0,MIN(100,M135/MAX($M$10:$M$511)*100))</f>
        <v>2.2044088176352705</v>
      </c>
      <c r="U135" s="29">
        <f>MIN(100,IF(O135="Yes",50,0)+IF(N135="Yes",30,0)+IF(P135="Yes",20,0))</f>
        <v>50</v>
      </c>
      <c r="V135" s="30">
        <f>ROUND(U135*$C$3+S135*$C$4+T135*$C$5+R135*$C$6,1)</f>
        <v>26.3</v>
      </c>
      <c r="W135" s="9" t="s">
        <v>396</v>
      </c>
    </row>
    <row r="136" spans="1:23" ht="21.75" customHeight="1" x14ac:dyDescent="0.2">
      <c r="A136" s="23">
        <v>185</v>
      </c>
      <c r="B136" s="9" t="s">
        <v>384</v>
      </c>
      <c r="C136" s="9" t="s">
        <v>452</v>
      </c>
      <c r="D136" s="9" t="s">
        <v>658</v>
      </c>
      <c r="E136" s="9" t="s">
        <v>415</v>
      </c>
      <c r="F136" s="24">
        <v>4</v>
      </c>
      <c r="G136" s="24">
        <v>10</v>
      </c>
      <c r="H136" s="24">
        <v>4</v>
      </c>
      <c r="I136" s="25">
        <v>87.7</v>
      </c>
      <c r="J136" s="25">
        <v>91.3</v>
      </c>
      <c r="K136" s="26">
        <v>0.5</v>
      </c>
      <c r="L136" s="26">
        <v>0</v>
      </c>
      <c r="M136" s="24">
        <v>24</v>
      </c>
      <c r="N136" s="28" t="s">
        <v>344</v>
      </c>
      <c r="O136" s="28" t="s">
        <v>345</v>
      </c>
      <c r="P136" s="28" t="s">
        <v>344</v>
      </c>
      <c r="Q136" s="28" t="s">
        <v>345</v>
      </c>
      <c r="R136" s="29">
        <f>LN(F136+1)/LN(MAX($F$10:$F$511)+1)*100</f>
        <v>16.225378822606551</v>
      </c>
      <c r="S136" s="29">
        <f>IF(H136=0,0,(K136*0.5+L136*0.5)*100)</f>
        <v>25</v>
      </c>
      <c r="T136" s="29">
        <f>IF(M136="",0,MIN(100,M136/MAX($M$10:$M$511)*100))</f>
        <v>0.32064128256513025</v>
      </c>
      <c r="U136" s="29">
        <f>MIN(100,IF(O136="Yes",50,0)+IF(N136="Yes",30,0)+IF(P136="Yes",20,0))</f>
        <v>50</v>
      </c>
      <c r="V136" s="30">
        <f>ROUND(U136*$C$3+S136*$C$4+T136*$C$5+R136*$C$6,1)</f>
        <v>26.3</v>
      </c>
      <c r="W136" s="9" t="s">
        <v>388</v>
      </c>
    </row>
    <row r="137" spans="1:23" ht="32.25" customHeight="1" x14ac:dyDescent="0.2">
      <c r="A137" s="23">
        <v>186</v>
      </c>
      <c r="B137" s="9" t="s">
        <v>384</v>
      </c>
      <c r="C137" s="9" t="s">
        <v>452</v>
      </c>
      <c r="D137" s="9" t="s">
        <v>428</v>
      </c>
      <c r="E137" s="9" t="s">
        <v>415</v>
      </c>
      <c r="F137" s="24">
        <v>4</v>
      </c>
      <c r="G137" s="24">
        <v>10</v>
      </c>
      <c r="H137" s="24">
        <v>4</v>
      </c>
      <c r="I137" s="25">
        <v>51.5</v>
      </c>
      <c r="J137" s="25">
        <v>91.7</v>
      </c>
      <c r="K137" s="26">
        <v>0.25</v>
      </c>
      <c r="L137" s="26">
        <v>0.25</v>
      </c>
      <c r="M137" s="24">
        <v>24</v>
      </c>
      <c r="N137" s="28" t="s">
        <v>344</v>
      </c>
      <c r="O137" s="28" t="s">
        <v>345</v>
      </c>
      <c r="P137" s="28" t="s">
        <v>344</v>
      </c>
      <c r="Q137" s="28" t="s">
        <v>345</v>
      </c>
      <c r="R137" s="29">
        <f>LN(F137+1)/LN(MAX($F$10:$F$511)+1)*100</f>
        <v>16.225378822606551</v>
      </c>
      <c r="S137" s="29">
        <f>IF(H137=0,0,(K137*0.5+L137*0.5)*100)</f>
        <v>25</v>
      </c>
      <c r="T137" s="29">
        <f>IF(M137="",0,MIN(100,M137/MAX($M$10:$M$511)*100))</f>
        <v>0.32064128256513025</v>
      </c>
      <c r="U137" s="29">
        <f>MIN(100,IF(O137="Yes",50,0)+IF(N137="Yes",30,0)+IF(P137="Yes",20,0))</f>
        <v>50</v>
      </c>
      <c r="V137" s="30">
        <f>ROUND(U137*$C$3+S137*$C$4+T137*$C$5+R137*$C$6,1)</f>
        <v>26.3</v>
      </c>
      <c r="W137" s="9" t="s">
        <v>388</v>
      </c>
    </row>
    <row r="138" spans="1:23" ht="21.75" customHeight="1" x14ac:dyDescent="0.2">
      <c r="A138" s="23">
        <v>187</v>
      </c>
      <c r="B138" s="9" t="s">
        <v>280</v>
      </c>
      <c r="C138" s="9" t="s">
        <v>492</v>
      </c>
      <c r="D138" s="9" t="s">
        <v>659</v>
      </c>
      <c r="E138" s="9" t="s">
        <v>660</v>
      </c>
      <c r="F138" s="24">
        <v>4</v>
      </c>
      <c r="G138" s="24">
        <v>37</v>
      </c>
      <c r="H138" s="24">
        <v>4</v>
      </c>
      <c r="I138" s="25">
        <v>63.4</v>
      </c>
      <c r="J138" s="25">
        <v>62.2</v>
      </c>
      <c r="K138" s="26">
        <v>0.5</v>
      </c>
      <c r="L138" s="26">
        <v>0</v>
      </c>
      <c r="M138" s="24">
        <v>17</v>
      </c>
      <c r="N138" s="28" t="s">
        <v>344</v>
      </c>
      <c r="O138" s="28" t="s">
        <v>345</v>
      </c>
      <c r="P138" s="28" t="s">
        <v>344</v>
      </c>
      <c r="Q138" s="28" t="s">
        <v>345</v>
      </c>
      <c r="R138" s="29">
        <f>LN(F138+1)/LN(MAX($F$10:$F$511)+1)*100</f>
        <v>16.225378822606551</v>
      </c>
      <c r="S138" s="29">
        <f>IF(H138=0,0,(K138*0.5+L138*0.5)*100)</f>
        <v>25</v>
      </c>
      <c r="T138" s="29">
        <f>IF(M138="",0,MIN(100,M138/MAX($M$10:$M$511)*100))</f>
        <v>0.22712090848363395</v>
      </c>
      <c r="U138" s="29">
        <f>MIN(100,IF(O138="Yes",50,0)+IF(N138="Yes",30,0)+IF(P138="Yes",20,0))</f>
        <v>50</v>
      </c>
      <c r="V138" s="30">
        <f>ROUND(U138*$C$3+S138*$C$4+T138*$C$5+R138*$C$6,1)</f>
        <v>26.2</v>
      </c>
      <c r="W138" s="9" t="s">
        <v>388</v>
      </c>
    </row>
    <row r="139" spans="1:23" ht="32.25" customHeight="1" x14ac:dyDescent="0.2">
      <c r="A139" s="23">
        <v>188</v>
      </c>
      <c r="B139" s="9" t="s">
        <v>384</v>
      </c>
      <c r="C139" s="9" t="s">
        <v>661</v>
      </c>
      <c r="D139" s="9" t="s">
        <v>662</v>
      </c>
      <c r="E139" s="9" t="s">
        <v>657</v>
      </c>
      <c r="F139" s="24">
        <v>1</v>
      </c>
      <c r="G139" s="24">
        <v>12</v>
      </c>
      <c r="H139" s="24">
        <v>1</v>
      </c>
      <c r="I139" s="25">
        <v>557.4</v>
      </c>
      <c r="J139" s="25">
        <v>557.4</v>
      </c>
      <c r="K139" s="26">
        <v>1</v>
      </c>
      <c r="L139" s="26">
        <v>1</v>
      </c>
      <c r="M139" s="24">
        <v>51</v>
      </c>
      <c r="N139" s="31"/>
      <c r="O139" s="28" t="s">
        <v>345</v>
      </c>
      <c r="P139" s="28"/>
      <c r="Q139" s="28" t="s">
        <v>345</v>
      </c>
      <c r="R139" s="29">
        <f>LN(F139+1)/LN(MAX($F$10:$F$511)+1)*100</f>
        <v>6.987890304757113</v>
      </c>
      <c r="S139" s="29">
        <f>IF(H139=0,0,(K139*0.5+L139*0.5)*100)</f>
        <v>100</v>
      </c>
      <c r="T139" s="29">
        <f>IF(M139="",0,MIN(100,M139/MAX($M$10:$M$511)*100))</f>
        <v>0.68136272545090182</v>
      </c>
      <c r="U139" s="29">
        <f>MIN(100,IF(O139="Yes",50,0)+IF(N139="Yes",30,0)+IF(P139="Yes",20,0))</f>
        <v>0</v>
      </c>
      <c r="V139" s="30">
        <f>ROUND(U139*$C$3+S139*$C$4+T139*$C$5+R139*$C$6,1)</f>
        <v>26.2</v>
      </c>
      <c r="W139" s="9" t="s">
        <v>597</v>
      </c>
    </row>
    <row r="140" spans="1:23" ht="32.25" customHeight="1" x14ac:dyDescent="0.2">
      <c r="A140" s="23">
        <v>189</v>
      </c>
      <c r="B140" s="9" t="s">
        <v>416</v>
      </c>
      <c r="C140" s="9" t="s">
        <v>448</v>
      </c>
      <c r="D140" s="9" t="s">
        <v>663</v>
      </c>
      <c r="E140" s="9" t="s">
        <v>450</v>
      </c>
      <c r="F140" s="24">
        <v>4</v>
      </c>
      <c r="G140" s="24">
        <v>16</v>
      </c>
      <c r="H140" s="24">
        <v>4</v>
      </c>
      <c r="I140" s="25">
        <v>47.9</v>
      </c>
      <c r="J140" s="25">
        <v>126.4</v>
      </c>
      <c r="K140" s="26">
        <v>0.25</v>
      </c>
      <c r="L140" s="26">
        <v>0.25</v>
      </c>
      <c r="M140" s="24">
        <v>1</v>
      </c>
      <c r="N140" s="28" t="s">
        <v>344</v>
      </c>
      <c r="O140" s="28" t="s">
        <v>345</v>
      </c>
      <c r="P140" s="28" t="s">
        <v>344</v>
      </c>
      <c r="Q140" s="28" t="s">
        <v>345</v>
      </c>
      <c r="R140" s="29">
        <f>LN(F140+1)/LN(MAX($F$10:$F$511)+1)*100</f>
        <v>16.225378822606551</v>
      </c>
      <c r="S140" s="29">
        <f>IF(H140=0,0,(K140*0.5+L140*0.5)*100)</f>
        <v>25</v>
      </c>
      <c r="T140" s="29">
        <f>IF(M140="",0,MIN(100,M140/MAX($M$10:$M$511)*100))</f>
        <v>1.3360053440213761E-2</v>
      </c>
      <c r="U140" s="29">
        <f>MIN(100,IF(O140="Yes",50,0)+IF(N140="Yes",30,0)+IF(P140="Yes",20,0))</f>
        <v>50</v>
      </c>
      <c r="V140" s="30">
        <f>ROUND(U140*$C$3+S140*$C$4+T140*$C$5+R140*$C$6,1)</f>
        <v>26.2</v>
      </c>
      <c r="W140" s="9" t="s">
        <v>451</v>
      </c>
    </row>
    <row r="141" spans="1:23" ht="15" customHeight="1" x14ac:dyDescent="0.2">
      <c r="A141" s="23">
        <v>190</v>
      </c>
      <c r="B141" s="9" t="s">
        <v>384</v>
      </c>
      <c r="C141" s="9" t="s">
        <v>664</v>
      </c>
      <c r="D141" s="9" t="s">
        <v>665</v>
      </c>
      <c r="E141" s="9" t="s">
        <v>415</v>
      </c>
      <c r="F141" s="24">
        <v>4</v>
      </c>
      <c r="G141" s="24">
        <v>10</v>
      </c>
      <c r="H141" s="24">
        <v>4</v>
      </c>
      <c r="I141" s="25">
        <v>19</v>
      </c>
      <c r="J141" s="25">
        <v>61.7</v>
      </c>
      <c r="K141" s="26">
        <v>0.25</v>
      </c>
      <c r="L141" s="26">
        <v>0.25</v>
      </c>
      <c r="M141" s="24">
        <v>1</v>
      </c>
      <c r="N141" s="28" t="s">
        <v>344</v>
      </c>
      <c r="O141" s="28" t="s">
        <v>345</v>
      </c>
      <c r="P141" s="28" t="s">
        <v>344</v>
      </c>
      <c r="Q141" s="28" t="s">
        <v>345</v>
      </c>
      <c r="R141" s="29">
        <f>LN(F141+1)/LN(MAX($F$10:$F$511)+1)*100</f>
        <v>16.225378822606551</v>
      </c>
      <c r="S141" s="29">
        <f>IF(H141=0,0,(K141*0.5+L141*0.5)*100)</f>
        <v>25</v>
      </c>
      <c r="T141" s="29">
        <f>IF(M141="",0,MIN(100,M141/MAX($M$10:$M$511)*100))</f>
        <v>1.3360053440213761E-2</v>
      </c>
      <c r="U141" s="29">
        <f>MIN(100,IF(O141="Yes",50,0)+IF(N141="Yes",30,0)+IF(P141="Yes",20,0))</f>
        <v>50</v>
      </c>
      <c r="V141" s="30">
        <f>ROUND(U141*$C$3+S141*$C$4+T141*$C$5+R141*$C$6,1)</f>
        <v>26.2</v>
      </c>
      <c r="W141" s="9" t="s">
        <v>451</v>
      </c>
    </row>
    <row r="142" spans="1:23" ht="21.75" customHeight="1" x14ac:dyDescent="0.2">
      <c r="A142" s="23">
        <v>191</v>
      </c>
      <c r="B142" s="9" t="s">
        <v>384</v>
      </c>
      <c r="C142" s="9" t="s">
        <v>610</v>
      </c>
      <c r="D142" s="9" t="s">
        <v>593</v>
      </c>
      <c r="E142" s="9" t="s">
        <v>415</v>
      </c>
      <c r="F142" s="24">
        <v>25</v>
      </c>
      <c r="G142" s="24">
        <v>777</v>
      </c>
      <c r="H142" s="24">
        <v>25</v>
      </c>
      <c r="I142" s="25">
        <v>29.8</v>
      </c>
      <c r="J142" s="25">
        <v>60</v>
      </c>
      <c r="K142" s="26">
        <v>0.2</v>
      </c>
      <c r="L142" s="26">
        <v>0.08</v>
      </c>
      <c r="M142" s="24">
        <v>74</v>
      </c>
      <c r="N142" s="28" t="s">
        <v>344</v>
      </c>
      <c r="O142" s="28" t="s">
        <v>345</v>
      </c>
      <c r="P142" s="28" t="s">
        <v>344</v>
      </c>
      <c r="Q142" s="28" t="s">
        <v>345</v>
      </c>
      <c r="R142" s="29">
        <f>LN(F142+1)/LN(MAX($F$10:$F$511)+1)*100</f>
        <v>32.846157134493396</v>
      </c>
      <c r="S142" s="29">
        <f>IF(H142=0,0,(K142*0.5+L142*0.5)*100)</f>
        <v>14.000000000000002</v>
      </c>
      <c r="T142" s="29">
        <f>IF(M142="",0,MIN(100,M142/MAX($M$10:$M$511)*100))</f>
        <v>0.98864395457581833</v>
      </c>
      <c r="U142" s="29">
        <f>MIN(100,IF(O142="Yes",50,0)+IF(N142="Yes",30,0)+IF(P142="Yes",20,0))</f>
        <v>50</v>
      </c>
      <c r="V142" s="30">
        <f>ROUND(U142*$C$3+S142*$C$4+T142*$C$5+R142*$C$6,1)</f>
        <v>26.2</v>
      </c>
      <c r="W142" s="9" t="s">
        <v>396</v>
      </c>
    </row>
    <row r="143" spans="1:23" ht="21.75" customHeight="1" x14ac:dyDescent="0.2">
      <c r="A143" s="23">
        <v>192</v>
      </c>
      <c r="B143" s="9" t="s">
        <v>280</v>
      </c>
      <c r="C143" s="9" t="s">
        <v>492</v>
      </c>
      <c r="D143" s="9" t="s">
        <v>666</v>
      </c>
      <c r="E143" s="9" t="s">
        <v>660</v>
      </c>
      <c r="F143" s="24">
        <v>14</v>
      </c>
      <c r="G143" s="24">
        <v>37</v>
      </c>
      <c r="H143" s="24">
        <v>14</v>
      </c>
      <c r="I143" s="25">
        <v>64.5</v>
      </c>
      <c r="J143" s="25">
        <v>94.1</v>
      </c>
      <c r="K143" s="26">
        <v>0.214</v>
      </c>
      <c r="L143" s="26">
        <v>0.14299999999999999</v>
      </c>
      <c r="M143" s="24">
        <v>17</v>
      </c>
      <c r="N143" s="28" t="s">
        <v>344</v>
      </c>
      <c r="O143" s="28" t="s">
        <v>345</v>
      </c>
      <c r="P143" s="28" t="s">
        <v>344</v>
      </c>
      <c r="Q143" s="28" t="s">
        <v>345</v>
      </c>
      <c r="R143" s="29">
        <f>LN(F143+1)/LN(MAX($F$10:$F$511)+1)*100</f>
        <v>27.300922914799507</v>
      </c>
      <c r="S143" s="29">
        <f>IF(H143=0,0,(K143*0.5+L143*0.5)*100)</f>
        <v>17.849999999999998</v>
      </c>
      <c r="T143" s="29">
        <f>IF(M143="",0,MIN(100,M143/MAX($M$10:$M$511)*100))</f>
        <v>0.22712090848363395</v>
      </c>
      <c r="U143" s="29">
        <f>MIN(100,IF(O143="Yes",50,0)+IF(N143="Yes",30,0)+IF(P143="Yes",20,0))</f>
        <v>50</v>
      </c>
      <c r="V143" s="30">
        <f>ROUND(U143*$C$3+S143*$C$4+T143*$C$5+R143*$C$6,1)</f>
        <v>26.1</v>
      </c>
      <c r="W143" s="9" t="s">
        <v>396</v>
      </c>
    </row>
    <row r="144" spans="1:23" ht="32.25" customHeight="1" x14ac:dyDescent="0.2">
      <c r="A144" s="23">
        <v>193</v>
      </c>
      <c r="B144" s="9" t="s">
        <v>384</v>
      </c>
      <c r="C144" s="9" t="s">
        <v>667</v>
      </c>
      <c r="D144" s="9" t="s">
        <v>526</v>
      </c>
      <c r="E144" s="9" t="s">
        <v>501</v>
      </c>
      <c r="F144" s="24">
        <v>8</v>
      </c>
      <c r="G144" s="24">
        <v>23</v>
      </c>
      <c r="H144" s="24">
        <v>8</v>
      </c>
      <c r="I144" s="25">
        <v>191.5</v>
      </c>
      <c r="J144" s="25">
        <v>189.5</v>
      </c>
      <c r="K144" s="26">
        <v>0.75</v>
      </c>
      <c r="L144" s="26">
        <v>0.5</v>
      </c>
      <c r="M144" s="24">
        <v>42</v>
      </c>
      <c r="N144" s="28" t="s">
        <v>345</v>
      </c>
      <c r="O144" s="28" t="s">
        <v>345</v>
      </c>
      <c r="P144" s="28" t="s">
        <v>344</v>
      </c>
      <c r="Q144" s="28" t="s">
        <v>345</v>
      </c>
      <c r="R144" s="29">
        <f>LN(F144+1)/LN(MAX($F$10:$F$511)+1)*100</f>
        <v>22.151088184385912</v>
      </c>
      <c r="S144" s="29">
        <f>IF(H144=0,0,(K144*0.5+L144*0.5)*100)</f>
        <v>62.5</v>
      </c>
      <c r="T144" s="29">
        <f>IF(M144="",0,MIN(100,M144/MAX($M$10:$M$511)*100))</f>
        <v>0.56112224448897796</v>
      </c>
      <c r="U144" s="29">
        <f>MIN(100,IF(O144="Yes",50,0)+IF(N144="Yes",30,0)+IF(P144="Yes",20,0))</f>
        <v>20</v>
      </c>
      <c r="V144" s="30">
        <f>ROUND(U144*$C$3+S144*$C$4+T144*$C$5+R144*$C$6,1)</f>
        <v>26.1</v>
      </c>
      <c r="W144" s="9" t="s">
        <v>388</v>
      </c>
    </row>
    <row r="145" spans="1:23" ht="21.75" customHeight="1" x14ac:dyDescent="0.2">
      <c r="A145" s="23">
        <v>194</v>
      </c>
      <c r="B145" s="9" t="s">
        <v>416</v>
      </c>
      <c r="C145" s="9" t="s">
        <v>668</v>
      </c>
      <c r="D145" s="9" t="s">
        <v>669</v>
      </c>
      <c r="E145" s="9" t="s">
        <v>418</v>
      </c>
      <c r="F145" s="24">
        <v>1</v>
      </c>
      <c r="G145" s="27"/>
      <c r="H145" s="24">
        <v>1</v>
      </c>
      <c r="I145" s="25">
        <v>419</v>
      </c>
      <c r="J145" s="25">
        <v>419</v>
      </c>
      <c r="K145" s="26">
        <v>1</v>
      </c>
      <c r="L145" s="26">
        <v>1</v>
      </c>
      <c r="M145" s="24">
        <v>2</v>
      </c>
      <c r="N145" s="31"/>
      <c r="O145" s="28" t="s">
        <v>345</v>
      </c>
      <c r="P145" s="28"/>
      <c r="Q145" s="28" t="s">
        <v>345</v>
      </c>
      <c r="R145" s="29">
        <f>LN(F145+1)/LN(MAX($F$10:$F$511)+1)*100</f>
        <v>6.987890304757113</v>
      </c>
      <c r="S145" s="29">
        <f>IF(H145=0,0,(K145*0.5+L145*0.5)*100)</f>
        <v>100</v>
      </c>
      <c r="T145" s="29">
        <f>IF(M145="",0,MIN(100,M145/MAX($M$10:$M$511)*100))</f>
        <v>2.6720106880427523E-2</v>
      </c>
      <c r="U145" s="29">
        <f>MIN(100,IF(O145="Yes",50,0)+IF(N145="Yes",30,0)+IF(P145="Yes",20,0))</f>
        <v>0</v>
      </c>
      <c r="V145" s="30">
        <f>ROUND(U145*$C$3+S145*$C$4+T145*$C$5+R145*$C$6,1)</f>
        <v>26.1</v>
      </c>
      <c r="W145" s="9" t="s">
        <v>670</v>
      </c>
    </row>
    <row r="146" spans="1:23" ht="32.25" customHeight="1" x14ac:dyDescent="0.2">
      <c r="A146" s="23">
        <v>205</v>
      </c>
      <c r="B146" s="9" t="s">
        <v>280</v>
      </c>
      <c r="C146" s="9" t="s">
        <v>685</v>
      </c>
      <c r="D146" s="9" t="s">
        <v>601</v>
      </c>
      <c r="E146" s="9" t="s">
        <v>343</v>
      </c>
      <c r="F146" s="24">
        <v>7</v>
      </c>
      <c r="G146" s="27"/>
      <c r="H146" s="24">
        <v>7</v>
      </c>
      <c r="I146" s="25">
        <v>59.2</v>
      </c>
      <c r="J146" s="25">
        <v>75.8</v>
      </c>
      <c r="K146" s="26">
        <v>0.42899999999999999</v>
      </c>
      <c r="L146" s="26">
        <v>0</v>
      </c>
      <c r="M146" s="24">
        <v>1</v>
      </c>
      <c r="N146" s="28" t="s">
        <v>344</v>
      </c>
      <c r="O146" s="28" t="s">
        <v>345</v>
      </c>
      <c r="P146" s="28" t="s">
        <v>344</v>
      </c>
      <c r="Q146" s="28" t="s">
        <v>345</v>
      </c>
      <c r="R146" s="29">
        <f>LN(F146+1)/LN(MAX($F$10:$F$511)+1)*100</f>
        <v>20.963670914271336</v>
      </c>
      <c r="S146" s="29">
        <f>IF(H146=0,0,(K146*0.5+L146*0.5)*100)</f>
        <v>21.45</v>
      </c>
      <c r="T146" s="29">
        <f>IF(M146="",0,MIN(100,M146/MAX($M$10:$M$511)*100))</f>
        <v>1.3360053440213761E-2</v>
      </c>
      <c r="U146" s="29">
        <f>MIN(100,IF(O146="Yes",50,0)+IF(N146="Yes",30,0)+IF(P146="Yes",20,0))</f>
        <v>50</v>
      </c>
      <c r="V146" s="30">
        <f>ROUND(U146*$C$3+S146*$C$4+T146*$C$5+R146*$C$6,1)</f>
        <v>26</v>
      </c>
      <c r="W146" s="9" t="s">
        <v>686</v>
      </c>
    </row>
    <row r="147" spans="1:23" ht="21.75" customHeight="1" x14ac:dyDescent="0.2">
      <c r="A147" s="23">
        <v>206</v>
      </c>
      <c r="B147" s="9" t="s">
        <v>384</v>
      </c>
      <c r="C147" s="9" t="s">
        <v>610</v>
      </c>
      <c r="D147" s="9" t="s">
        <v>658</v>
      </c>
      <c r="E147" s="9" t="s">
        <v>415</v>
      </c>
      <c r="F147" s="24">
        <v>104</v>
      </c>
      <c r="G147" s="24">
        <v>777</v>
      </c>
      <c r="H147" s="24">
        <v>104</v>
      </c>
      <c r="I147" s="25">
        <v>14.5</v>
      </c>
      <c r="J147" s="25">
        <v>36.299999999999997</v>
      </c>
      <c r="K147" s="26">
        <v>6.7000000000000004E-2</v>
      </c>
      <c r="L147" s="26">
        <v>2.9000000000000001E-2</v>
      </c>
      <c r="M147" s="24">
        <v>74</v>
      </c>
      <c r="N147" s="28" t="s">
        <v>344</v>
      </c>
      <c r="O147" s="28" t="s">
        <v>345</v>
      </c>
      <c r="P147" s="28" t="s">
        <v>344</v>
      </c>
      <c r="Q147" s="28" t="s">
        <v>345</v>
      </c>
      <c r="R147" s="29">
        <f>LN(F147+1)/LN(MAX($F$10:$F$511)+1)*100</f>
        <v>46.918411156657996</v>
      </c>
      <c r="S147" s="29">
        <f>IF(H147=0,0,(K147*0.5+L147*0.5)*100)</f>
        <v>4.8</v>
      </c>
      <c r="T147" s="29">
        <f>IF(M147="",0,MIN(100,M147/MAX($M$10:$M$511)*100))</f>
        <v>0.98864395457581833</v>
      </c>
      <c r="U147" s="29">
        <f>MIN(100,IF(O147="Yes",50,0)+IF(N147="Yes",30,0)+IF(P147="Yes",20,0))</f>
        <v>50</v>
      </c>
      <c r="V147" s="30">
        <f>ROUND(U147*$C$3+S147*$C$4+T147*$C$5+R147*$C$6,1)</f>
        <v>26</v>
      </c>
      <c r="W147" s="9"/>
    </row>
    <row r="148" spans="1:23" ht="21.75" customHeight="1" x14ac:dyDescent="0.2">
      <c r="A148" s="23">
        <v>207</v>
      </c>
      <c r="B148" s="9" t="s">
        <v>384</v>
      </c>
      <c r="C148" s="9" t="s">
        <v>667</v>
      </c>
      <c r="D148" s="9" t="s">
        <v>687</v>
      </c>
      <c r="E148" s="9" t="s">
        <v>501</v>
      </c>
      <c r="F148" s="24">
        <v>3</v>
      </c>
      <c r="G148" s="24">
        <v>23</v>
      </c>
      <c r="H148" s="24">
        <v>3</v>
      </c>
      <c r="I148" s="25">
        <v>241.6</v>
      </c>
      <c r="J148" s="25">
        <v>249.1</v>
      </c>
      <c r="K148" s="26">
        <v>0.66700000000000004</v>
      </c>
      <c r="L148" s="26">
        <v>0.66700000000000004</v>
      </c>
      <c r="M148" s="24">
        <v>42</v>
      </c>
      <c r="N148" s="28" t="s">
        <v>345</v>
      </c>
      <c r="O148" s="28" t="s">
        <v>345</v>
      </c>
      <c r="P148" s="28" t="s">
        <v>344</v>
      </c>
      <c r="Q148" s="28" t="s">
        <v>345</v>
      </c>
      <c r="R148" s="29">
        <f>LN(F148+1)/LN(MAX($F$10:$F$511)+1)*100</f>
        <v>13.975780609514226</v>
      </c>
      <c r="S148" s="29">
        <f>IF(H148=0,0,(K148*0.5+L148*0.5)*100)</f>
        <v>66.7</v>
      </c>
      <c r="T148" s="29">
        <f>IF(M148="",0,MIN(100,M148/MAX($M$10:$M$511)*100))</f>
        <v>0.56112224448897796</v>
      </c>
      <c r="U148" s="29">
        <f>MIN(100,IF(O148="Yes",50,0)+IF(N148="Yes",30,0)+IF(P148="Yes",20,0))</f>
        <v>20</v>
      </c>
      <c r="V148" s="30">
        <f>ROUND(U148*$C$3+S148*$C$4+T148*$C$5+R148*$C$6,1)</f>
        <v>25.9</v>
      </c>
      <c r="W148" s="9" t="s">
        <v>388</v>
      </c>
    </row>
    <row r="149" spans="1:23" ht="21.75" customHeight="1" x14ac:dyDescent="0.2">
      <c r="A149" s="23">
        <v>208</v>
      </c>
      <c r="B149" s="9" t="s">
        <v>280</v>
      </c>
      <c r="C149" s="9" t="s">
        <v>645</v>
      </c>
      <c r="D149" s="9"/>
      <c r="E149" s="9" t="s">
        <v>343</v>
      </c>
      <c r="F149" s="24">
        <v>27</v>
      </c>
      <c r="G149" s="24">
        <v>59</v>
      </c>
      <c r="H149" s="24">
        <v>27</v>
      </c>
      <c r="I149" s="25">
        <v>59.1</v>
      </c>
      <c r="J149" s="25">
        <v>64.400000000000006</v>
      </c>
      <c r="K149" s="26">
        <v>0.222</v>
      </c>
      <c r="L149" s="26">
        <v>3.6999999999999998E-2</v>
      </c>
      <c r="M149" s="24">
        <v>3</v>
      </c>
      <c r="N149" s="28" t="s">
        <v>344</v>
      </c>
      <c r="O149" s="28" t="s">
        <v>345</v>
      </c>
      <c r="P149" s="28" t="s">
        <v>344</v>
      </c>
      <c r="Q149" s="28" t="s">
        <v>345</v>
      </c>
      <c r="R149" s="29">
        <f>LN(F149+1)/LN(MAX($F$10:$F$511)+1)*100</f>
        <v>33.593268851372713</v>
      </c>
      <c r="S149" s="29">
        <f>IF(H149=0,0,(K149*0.5+L149*0.5)*100)</f>
        <v>12.950000000000001</v>
      </c>
      <c r="T149" s="29">
        <f>IF(M149="",0,MIN(100,M149/MAX($M$10:$M$511)*100))</f>
        <v>4.0080160320641281E-2</v>
      </c>
      <c r="U149" s="29">
        <f>MIN(100,IF(O149="Yes",50,0)+IF(N149="Yes",30,0)+IF(P149="Yes",20,0))</f>
        <v>50</v>
      </c>
      <c r="V149" s="30">
        <f>ROUND(U149*$C$3+S149*$C$4+T149*$C$5+R149*$C$6,1)</f>
        <v>25.8</v>
      </c>
      <c r="W149" s="9" t="s">
        <v>427</v>
      </c>
    </row>
    <row r="150" spans="1:23" ht="21.75" customHeight="1" x14ac:dyDescent="0.2">
      <c r="A150" s="23">
        <v>209</v>
      </c>
      <c r="B150" s="9" t="s">
        <v>510</v>
      </c>
      <c r="C150" s="9" t="s">
        <v>688</v>
      </c>
      <c r="D150" s="9" t="s">
        <v>265</v>
      </c>
      <c r="E150" s="9" t="s">
        <v>512</v>
      </c>
      <c r="F150" s="24">
        <v>74</v>
      </c>
      <c r="G150" s="24">
        <v>223</v>
      </c>
      <c r="H150" s="24">
        <v>74</v>
      </c>
      <c r="I150" s="25">
        <v>216.5</v>
      </c>
      <c r="J150" s="25">
        <v>244.6</v>
      </c>
      <c r="K150" s="26">
        <v>0.82399999999999995</v>
      </c>
      <c r="L150" s="26">
        <v>0.54100000000000004</v>
      </c>
      <c r="M150" s="24">
        <v>650</v>
      </c>
      <c r="N150" s="31"/>
      <c r="O150" s="28" t="s">
        <v>345</v>
      </c>
      <c r="P150" s="28"/>
      <c r="Q150" s="28" t="s">
        <v>344</v>
      </c>
      <c r="R150" s="29">
        <f>LN(F150+1)/LN(MAX($F$10:$F$511)+1)*100</f>
        <v>43.526301737406058</v>
      </c>
      <c r="S150" s="29">
        <f>IF(H150=0,0,(K150*0.5+L150*0.5)*100)</f>
        <v>68.25</v>
      </c>
      <c r="T150" s="29">
        <f>IF(M150="",0,MIN(100,M150/MAX($M$10:$M$511)*100))</f>
        <v>8.6840347361389441</v>
      </c>
      <c r="U150" s="29">
        <f>MIN(100,IF(O150="Yes",50,0)+IF(N150="Yes",30,0)+IF(P150="Yes",20,0))</f>
        <v>0</v>
      </c>
      <c r="V150" s="30">
        <f>ROUND(U150*$C$3+S150*$C$4+T150*$C$5+R150*$C$6,1)</f>
        <v>25.8</v>
      </c>
      <c r="W150" s="9" t="s">
        <v>370</v>
      </c>
    </row>
    <row r="151" spans="1:23" ht="21.75" customHeight="1" x14ac:dyDescent="0.2">
      <c r="A151" s="23">
        <v>210</v>
      </c>
      <c r="B151" s="9" t="s">
        <v>351</v>
      </c>
      <c r="C151" s="9" t="s">
        <v>689</v>
      </c>
      <c r="D151" s="9" t="s">
        <v>690</v>
      </c>
      <c r="E151" s="9" t="s">
        <v>354</v>
      </c>
      <c r="F151" s="24">
        <v>23</v>
      </c>
      <c r="G151" s="24">
        <v>12</v>
      </c>
      <c r="H151" s="24">
        <v>6</v>
      </c>
      <c r="I151" s="25">
        <v>310.39999999999998</v>
      </c>
      <c r="J151" s="25">
        <v>268.10000000000002</v>
      </c>
      <c r="K151" s="26">
        <v>0.83299999999999996</v>
      </c>
      <c r="L151" s="26">
        <v>0.83299999999999996</v>
      </c>
      <c r="M151" s="24">
        <v>1</v>
      </c>
      <c r="N151" s="31"/>
      <c r="O151" s="28" t="s">
        <v>345</v>
      </c>
      <c r="P151" s="28"/>
      <c r="Q151" s="28" t="s">
        <v>345</v>
      </c>
      <c r="R151" s="29">
        <f>LN(F151+1)/LN(MAX($F$10:$F$511)+1)*100</f>
        <v>32.039215006464296</v>
      </c>
      <c r="S151" s="29">
        <f>IF(H151=0,0,(K151*0.5+L151*0.5)*100)</f>
        <v>83.3</v>
      </c>
      <c r="T151" s="29">
        <f>IF(M151="",0,MIN(100,M151/MAX($M$10:$M$511)*100))</f>
        <v>1.3360053440213761E-2</v>
      </c>
      <c r="U151" s="29">
        <f>MIN(100,IF(O151="Yes",50,0)+IF(N151="Yes",30,0)+IF(P151="Yes",20,0))</f>
        <v>0</v>
      </c>
      <c r="V151" s="30">
        <f>ROUND(U151*$C$3+S151*$C$4+T151*$C$5+R151*$C$6,1)</f>
        <v>25.6</v>
      </c>
      <c r="W151" s="9" t="s">
        <v>652</v>
      </c>
    </row>
    <row r="152" spans="1:23" ht="21.75" customHeight="1" x14ac:dyDescent="0.2">
      <c r="A152" s="23">
        <v>211</v>
      </c>
      <c r="B152" s="9" t="s">
        <v>202</v>
      </c>
      <c r="C152" s="9" t="s">
        <v>640</v>
      </c>
      <c r="D152" s="9" t="s">
        <v>691</v>
      </c>
      <c r="E152" s="9" t="s">
        <v>625</v>
      </c>
      <c r="F152" s="24">
        <v>68</v>
      </c>
      <c r="G152" s="24">
        <v>27</v>
      </c>
      <c r="H152" s="24">
        <v>68</v>
      </c>
      <c r="I152" s="25">
        <v>37.6</v>
      </c>
      <c r="J152" s="25">
        <v>46.6</v>
      </c>
      <c r="K152" s="26">
        <v>0.10299999999999999</v>
      </c>
      <c r="L152" s="26">
        <v>2.9000000000000001E-2</v>
      </c>
      <c r="M152" s="24">
        <v>12</v>
      </c>
      <c r="N152" s="28" t="s">
        <v>344</v>
      </c>
      <c r="O152" s="28" t="s">
        <v>345</v>
      </c>
      <c r="P152" s="28" t="s">
        <v>344</v>
      </c>
      <c r="Q152" s="28" t="s">
        <v>345</v>
      </c>
      <c r="R152" s="29">
        <f>LN(F152+1)/LN(MAX($F$10:$F$511)+1)*100</f>
        <v>42.685698827891883</v>
      </c>
      <c r="S152" s="29">
        <f>IF(H152=0,0,(K152*0.5+L152*0.5)*100)</f>
        <v>6.6000000000000005</v>
      </c>
      <c r="T152" s="29">
        <f>IF(M152="",0,MIN(100,M152/MAX($M$10:$M$511)*100))</f>
        <v>0.16032064128256512</v>
      </c>
      <c r="U152" s="29">
        <f>MIN(100,IF(O152="Yes",50,0)+IF(N152="Yes",30,0)+IF(P152="Yes",20,0))</f>
        <v>50</v>
      </c>
      <c r="V152" s="30">
        <f>ROUND(U152*$C$3+S152*$C$4+T152*$C$5+R152*$C$6,1)</f>
        <v>25.6</v>
      </c>
      <c r="W152" s="9"/>
    </row>
    <row r="153" spans="1:23" ht="21.75" customHeight="1" x14ac:dyDescent="0.2">
      <c r="A153" s="23">
        <v>212</v>
      </c>
      <c r="B153" s="9" t="s">
        <v>347</v>
      </c>
      <c r="C153" s="9" t="s">
        <v>692</v>
      </c>
      <c r="D153" s="9"/>
      <c r="E153" s="9" t="s">
        <v>349</v>
      </c>
      <c r="F153" s="24">
        <v>115</v>
      </c>
      <c r="G153" s="24">
        <v>96</v>
      </c>
      <c r="H153" s="24">
        <v>0</v>
      </c>
      <c r="I153" s="25"/>
      <c r="J153" s="25"/>
      <c r="K153" s="26"/>
      <c r="L153" s="26"/>
      <c r="M153" s="24">
        <v>263</v>
      </c>
      <c r="N153" s="28" t="s">
        <v>344</v>
      </c>
      <c r="O153" s="28" t="s">
        <v>345</v>
      </c>
      <c r="P153" s="28" t="s">
        <v>344</v>
      </c>
      <c r="Q153" s="28" t="s">
        <v>345</v>
      </c>
      <c r="R153" s="29">
        <f>LN(F153+1)/LN(MAX($F$10:$F$511)+1)*100</f>
        <v>47.922818906060499</v>
      </c>
      <c r="S153" s="29">
        <f>IF(H153=0,0,(K153*0.5+L153*0.5)*100)</f>
        <v>0</v>
      </c>
      <c r="T153" s="29">
        <f>IF(M153="",0,MIN(100,M153/MAX($M$10:$M$511)*100))</f>
        <v>3.5136940547762188</v>
      </c>
      <c r="U153" s="29">
        <f>MIN(100,IF(O153="Yes",50,0)+IF(N153="Yes",30,0)+IF(P153="Yes",20,0))</f>
        <v>50</v>
      </c>
      <c r="V153" s="30">
        <f>ROUND(U153*$C$3+S153*$C$4+T153*$C$5+R153*$C$6,1)</f>
        <v>25.6</v>
      </c>
      <c r="W153" s="9" t="s">
        <v>693</v>
      </c>
    </row>
    <row r="154" spans="1:23" ht="21.75" customHeight="1" x14ac:dyDescent="0.2">
      <c r="A154" s="23">
        <v>213</v>
      </c>
      <c r="B154" s="9" t="s">
        <v>280</v>
      </c>
      <c r="C154" s="9" t="s">
        <v>492</v>
      </c>
      <c r="D154" s="9" t="s">
        <v>694</v>
      </c>
      <c r="E154" s="9" t="s">
        <v>604</v>
      </c>
      <c r="F154" s="24">
        <v>2</v>
      </c>
      <c r="G154" s="24">
        <v>37</v>
      </c>
      <c r="H154" s="24">
        <v>2</v>
      </c>
      <c r="I154" s="25">
        <v>107</v>
      </c>
      <c r="J154" s="25">
        <v>107</v>
      </c>
      <c r="K154" s="26">
        <v>0.5</v>
      </c>
      <c r="L154" s="26">
        <v>0</v>
      </c>
      <c r="M154" s="24">
        <v>17</v>
      </c>
      <c r="N154" s="28" t="s">
        <v>344</v>
      </c>
      <c r="O154" s="28" t="s">
        <v>345</v>
      </c>
      <c r="P154" s="28" t="s">
        <v>344</v>
      </c>
      <c r="Q154" s="28" t="s">
        <v>345</v>
      </c>
      <c r="R154" s="29">
        <f>LN(F154+1)/LN(MAX($F$10:$F$511)+1)*100</f>
        <v>11.075544092192956</v>
      </c>
      <c r="S154" s="29">
        <f>IF(H154=0,0,(K154*0.5+L154*0.5)*100)</f>
        <v>25</v>
      </c>
      <c r="T154" s="29">
        <f>IF(M154="",0,MIN(100,M154/MAX($M$10:$M$511)*100))</f>
        <v>0.22712090848363395</v>
      </c>
      <c r="U154" s="29">
        <f>MIN(100,IF(O154="Yes",50,0)+IF(N154="Yes",30,0)+IF(P154="Yes",20,0))</f>
        <v>50</v>
      </c>
      <c r="V154" s="30">
        <f>ROUND(U154*$C$3+S154*$C$4+T154*$C$5+R154*$C$6,1)</f>
        <v>25.5</v>
      </c>
      <c r="W154" s="9" t="s">
        <v>388</v>
      </c>
    </row>
    <row r="155" spans="1:23" ht="32.25" customHeight="1" x14ac:dyDescent="0.2">
      <c r="A155" s="23">
        <v>214</v>
      </c>
      <c r="B155" s="9" t="s">
        <v>280</v>
      </c>
      <c r="C155" s="9" t="s">
        <v>695</v>
      </c>
      <c r="D155" s="9" t="s">
        <v>696</v>
      </c>
      <c r="E155" s="9" t="s">
        <v>456</v>
      </c>
      <c r="F155" s="24">
        <v>2</v>
      </c>
      <c r="G155" s="24">
        <v>11</v>
      </c>
      <c r="H155" s="24">
        <v>2</v>
      </c>
      <c r="I155" s="25">
        <v>107.4</v>
      </c>
      <c r="J155" s="25">
        <v>107.4</v>
      </c>
      <c r="K155" s="26">
        <v>0.5</v>
      </c>
      <c r="L155" s="26">
        <v>0</v>
      </c>
      <c r="M155" s="24">
        <v>10</v>
      </c>
      <c r="N155" s="28" t="s">
        <v>344</v>
      </c>
      <c r="O155" s="28" t="s">
        <v>345</v>
      </c>
      <c r="P155" s="28" t="s">
        <v>344</v>
      </c>
      <c r="Q155" s="28" t="s">
        <v>345</v>
      </c>
      <c r="R155" s="29">
        <f>LN(F155+1)/LN(MAX($F$10:$F$511)+1)*100</f>
        <v>11.075544092192956</v>
      </c>
      <c r="S155" s="29">
        <f>IF(H155=0,0,(K155*0.5+L155*0.5)*100)</f>
        <v>25</v>
      </c>
      <c r="T155" s="29">
        <f>IF(M155="",0,MIN(100,M155/MAX($M$10:$M$511)*100))</f>
        <v>0.13360053440213762</v>
      </c>
      <c r="U155" s="29">
        <f>MIN(100,IF(O155="Yes",50,0)+IF(N155="Yes",30,0)+IF(P155="Yes",20,0))</f>
        <v>50</v>
      </c>
      <c r="V155" s="30">
        <f>ROUND(U155*$C$3+S155*$C$4+T155*$C$5+R155*$C$6,1)</f>
        <v>25.4</v>
      </c>
      <c r="W155" s="9" t="s">
        <v>388</v>
      </c>
    </row>
    <row r="156" spans="1:23" ht="32.25" customHeight="1" x14ac:dyDescent="0.2">
      <c r="A156" s="23">
        <v>215</v>
      </c>
      <c r="B156" s="9" t="s">
        <v>280</v>
      </c>
      <c r="C156" s="9" t="s">
        <v>697</v>
      </c>
      <c r="D156" s="9" t="s">
        <v>698</v>
      </c>
      <c r="E156" s="9" t="s">
        <v>343</v>
      </c>
      <c r="F156" s="24">
        <v>2</v>
      </c>
      <c r="G156" s="24">
        <v>5</v>
      </c>
      <c r="H156" s="24">
        <v>2</v>
      </c>
      <c r="I156" s="25">
        <v>95.6</v>
      </c>
      <c r="J156" s="25">
        <v>95.6</v>
      </c>
      <c r="K156" s="26">
        <v>0.5</v>
      </c>
      <c r="L156" s="26">
        <v>0</v>
      </c>
      <c r="M156" s="24">
        <v>1</v>
      </c>
      <c r="N156" s="28" t="s">
        <v>344</v>
      </c>
      <c r="O156" s="28" t="s">
        <v>345</v>
      </c>
      <c r="P156" s="28" t="s">
        <v>344</v>
      </c>
      <c r="Q156" s="28" t="s">
        <v>345</v>
      </c>
      <c r="R156" s="29">
        <f>LN(F156+1)/LN(MAX($F$10:$F$511)+1)*100</f>
        <v>11.075544092192956</v>
      </c>
      <c r="S156" s="29">
        <f>IF(H156=0,0,(K156*0.5+L156*0.5)*100)</f>
        <v>25</v>
      </c>
      <c r="T156" s="29">
        <f>IF(M156="",0,MIN(100,M156/MAX($M$10:$M$511)*100))</f>
        <v>1.3360053440213761E-2</v>
      </c>
      <c r="U156" s="29">
        <f>MIN(100,IF(O156="Yes",50,0)+IF(N156="Yes",30,0)+IF(P156="Yes",20,0))</f>
        <v>50</v>
      </c>
      <c r="V156" s="30">
        <f>ROUND(U156*$C$3+S156*$C$4+T156*$C$5+R156*$C$6,1)</f>
        <v>25.4</v>
      </c>
      <c r="W156" s="9" t="s">
        <v>451</v>
      </c>
    </row>
    <row r="157" spans="1:23" ht="21.75" customHeight="1" x14ac:dyDescent="0.2">
      <c r="A157" s="23">
        <v>216</v>
      </c>
      <c r="B157" s="9" t="s">
        <v>402</v>
      </c>
      <c r="C157" s="9" t="s">
        <v>699</v>
      </c>
      <c r="D157" s="9" t="s">
        <v>404</v>
      </c>
      <c r="E157" s="9" t="s">
        <v>437</v>
      </c>
      <c r="F157" s="24">
        <v>5</v>
      </c>
      <c r="G157" s="27"/>
      <c r="H157" s="24">
        <v>5</v>
      </c>
      <c r="I157" s="25">
        <v>13.7</v>
      </c>
      <c r="J157" s="25">
        <v>62.6</v>
      </c>
      <c r="K157" s="26">
        <v>0.2</v>
      </c>
      <c r="L157" s="26">
        <v>0.2</v>
      </c>
      <c r="M157" s="24">
        <v>13</v>
      </c>
      <c r="N157" s="28" t="s">
        <v>344</v>
      </c>
      <c r="O157" s="28" t="s">
        <v>345</v>
      </c>
      <c r="P157" s="28" t="s">
        <v>344</v>
      </c>
      <c r="Q157" s="28" t="s">
        <v>345</v>
      </c>
      <c r="R157" s="29">
        <f>LN(F157+1)/LN(MAX($F$10:$F$511)+1)*100</f>
        <v>18.063434396950068</v>
      </c>
      <c r="S157" s="29">
        <f>IF(H157=0,0,(K157*0.5+L157*0.5)*100)</f>
        <v>20</v>
      </c>
      <c r="T157" s="29">
        <f>IF(M157="",0,MIN(100,M157/MAX($M$10:$M$511)*100))</f>
        <v>0.17368069472277889</v>
      </c>
      <c r="U157" s="29">
        <f>MIN(100,IF(O157="Yes",50,0)+IF(N157="Yes",30,0)+IF(P157="Yes",20,0))</f>
        <v>50</v>
      </c>
      <c r="V157" s="30">
        <f>ROUND(U157*$C$3+S157*$C$4+T157*$C$5+R157*$C$6,1)</f>
        <v>25.3</v>
      </c>
      <c r="W157" s="9" t="s">
        <v>474</v>
      </c>
    </row>
    <row r="158" spans="1:23" ht="21.75" customHeight="1" x14ac:dyDescent="0.2">
      <c r="A158" s="23">
        <v>217</v>
      </c>
      <c r="B158" s="9" t="s">
        <v>280</v>
      </c>
      <c r="C158" s="9" t="s">
        <v>700</v>
      </c>
      <c r="D158" s="9" t="s">
        <v>701</v>
      </c>
      <c r="E158" s="9" t="s">
        <v>488</v>
      </c>
      <c r="F158" s="24">
        <v>52</v>
      </c>
      <c r="G158" s="24">
        <v>42</v>
      </c>
      <c r="H158" s="24">
        <v>52</v>
      </c>
      <c r="I158" s="25">
        <v>29</v>
      </c>
      <c r="J158" s="25">
        <v>49.8</v>
      </c>
      <c r="K158" s="26">
        <v>7.6999999999999999E-2</v>
      </c>
      <c r="L158" s="26">
        <v>5.8000000000000003E-2</v>
      </c>
      <c r="M158" s="24">
        <v>2</v>
      </c>
      <c r="N158" s="28" t="s">
        <v>344</v>
      </c>
      <c r="O158" s="28" t="s">
        <v>345</v>
      </c>
      <c r="P158" s="28" t="s">
        <v>344</v>
      </c>
      <c r="Q158" s="28" t="s">
        <v>345</v>
      </c>
      <c r="R158" s="29">
        <f>LN(F158+1)/LN(MAX($F$10:$F$511)+1)*100</f>
        <v>40.026079810862136</v>
      </c>
      <c r="S158" s="29">
        <f>IF(H158=0,0,(K158*0.5+L158*0.5)*100)</f>
        <v>6.75</v>
      </c>
      <c r="T158" s="29">
        <f>IF(M158="",0,MIN(100,M158/MAX($M$10:$M$511)*100))</f>
        <v>2.6720106880427523E-2</v>
      </c>
      <c r="U158" s="29">
        <f>MIN(100,IF(O158="Yes",50,0)+IF(N158="Yes",30,0)+IF(P158="Yes",20,0))</f>
        <v>50</v>
      </c>
      <c r="V158" s="30">
        <f>ROUND(U158*$C$3+S158*$C$4+T158*$C$5+R158*$C$6,1)</f>
        <v>25.2</v>
      </c>
      <c r="W158" s="9"/>
    </row>
    <row r="159" spans="1:23" ht="32.25" customHeight="1" x14ac:dyDescent="0.2">
      <c r="A159" s="23">
        <v>218</v>
      </c>
      <c r="B159" s="9" t="s">
        <v>384</v>
      </c>
      <c r="C159" s="9" t="s">
        <v>702</v>
      </c>
      <c r="D159" s="9" t="s">
        <v>665</v>
      </c>
      <c r="E159" s="9" t="s">
        <v>415</v>
      </c>
      <c r="F159" s="24">
        <v>113</v>
      </c>
      <c r="G159" s="24">
        <v>102</v>
      </c>
      <c r="H159" s="24">
        <v>113</v>
      </c>
      <c r="I159" s="25">
        <v>2.9</v>
      </c>
      <c r="J159" s="25">
        <v>10</v>
      </c>
      <c r="K159" s="26">
        <v>2.7E-2</v>
      </c>
      <c r="L159" s="26">
        <v>8.9999999999999993E-3</v>
      </c>
      <c r="M159" s="24">
        <v>1</v>
      </c>
      <c r="N159" s="28" t="s">
        <v>344</v>
      </c>
      <c r="O159" s="28" t="s">
        <v>345</v>
      </c>
      <c r="P159" s="28" t="s">
        <v>344</v>
      </c>
      <c r="Q159" s="28" t="s">
        <v>345</v>
      </c>
      <c r="R159" s="29">
        <f>LN(F159+1)/LN(MAX($F$10:$F$511)+1)*100</f>
        <v>47.747485883453493</v>
      </c>
      <c r="S159" s="29">
        <f>IF(H159=0,0,(K159*0.5+L159*0.5)*100)</f>
        <v>1.7999999999999998</v>
      </c>
      <c r="T159" s="29">
        <f>IF(M159="",0,MIN(100,M159/MAX($M$10:$M$511)*100))</f>
        <v>1.3360053440213761E-2</v>
      </c>
      <c r="U159" s="29">
        <f>MIN(100,IF(O159="Yes",50,0)+IF(N159="Yes",30,0)+IF(P159="Yes",20,0))</f>
        <v>50</v>
      </c>
      <c r="V159" s="30">
        <f>ROUND(U159*$C$3+S159*$C$4+T159*$C$5+R159*$C$6,1)</f>
        <v>25.1</v>
      </c>
      <c r="W159" s="9"/>
    </row>
    <row r="160" spans="1:23" ht="32.25" customHeight="1" x14ac:dyDescent="0.2">
      <c r="A160" s="23">
        <v>17</v>
      </c>
      <c r="B160" s="9" t="s">
        <v>280</v>
      </c>
      <c r="C160" s="9" t="s">
        <v>341</v>
      </c>
      <c r="D160" s="9" t="s">
        <v>389</v>
      </c>
      <c r="E160" s="9" t="s">
        <v>343</v>
      </c>
      <c r="F160" s="24">
        <v>15</v>
      </c>
      <c r="G160" s="24">
        <v>50</v>
      </c>
      <c r="H160" s="24">
        <v>15</v>
      </c>
      <c r="I160" s="25">
        <v>69.900000000000006</v>
      </c>
      <c r="J160" s="25">
        <v>69.3</v>
      </c>
      <c r="K160" s="26">
        <v>0.2</v>
      </c>
      <c r="L160" s="26">
        <v>6.7000000000000004E-2</v>
      </c>
      <c r="M160" s="27"/>
      <c r="N160" s="28" t="s">
        <v>344</v>
      </c>
      <c r="O160" s="28" t="s">
        <v>345</v>
      </c>
      <c r="P160" s="28" t="s">
        <v>344</v>
      </c>
      <c r="Q160" s="28" t="s">
        <v>345</v>
      </c>
      <c r="R160" s="29">
        <f>LN(F160+1)/LN(MAX($F$10:$F$511)+1)*100</f>
        <v>27.951561219028452</v>
      </c>
      <c r="S160" s="29">
        <f>IF(H160=0,0,(K160*0.5+L160*0.5)*100)</f>
        <v>13.350000000000001</v>
      </c>
      <c r="T160" s="29">
        <f>IF(M160="",0,MIN(100,M160/MAX($M$10:$M$511)*100))</f>
        <v>0</v>
      </c>
      <c r="U160" s="29">
        <f>MIN(100,IF(O160="Yes",50,0)+IF(N160="Yes",30,0)+IF(P160="Yes",20,0))</f>
        <v>50</v>
      </c>
      <c r="V160" s="30">
        <f>ROUND(U160*$C$3+S160*$C$4+T160*$C$5+R160*$C$6,1)</f>
        <v>25</v>
      </c>
      <c r="W160" s="9" t="s">
        <v>379</v>
      </c>
    </row>
    <row r="161" spans="1:23" ht="21.75" customHeight="1" x14ac:dyDescent="0.2">
      <c r="A161" s="23">
        <v>219</v>
      </c>
      <c r="B161" s="9" t="s">
        <v>280</v>
      </c>
      <c r="C161" s="9" t="s">
        <v>703</v>
      </c>
      <c r="D161" s="9" t="s">
        <v>704</v>
      </c>
      <c r="E161" s="9" t="s">
        <v>488</v>
      </c>
      <c r="F161" s="24">
        <v>46</v>
      </c>
      <c r="G161" s="24">
        <v>36</v>
      </c>
      <c r="H161" s="24">
        <v>46</v>
      </c>
      <c r="I161" s="25">
        <v>22.4</v>
      </c>
      <c r="J161" s="25">
        <v>38.1</v>
      </c>
      <c r="K161" s="26">
        <v>0.109</v>
      </c>
      <c r="L161" s="26">
        <v>2.1999999999999999E-2</v>
      </c>
      <c r="M161" s="24">
        <v>3</v>
      </c>
      <c r="N161" s="28" t="s">
        <v>344</v>
      </c>
      <c r="O161" s="28" t="s">
        <v>345</v>
      </c>
      <c r="P161" s="28" t="s">
        <v>344</v>
      </c>
      <c r="Q161" s="28" t="s">
        <v>345</v>
      </c>
      <c r="R161" s="29">
        <f>LN(F161+1)/LN(MAX($F$10:$F$511)+1)*100</f>
        <v>38.814857583550108</v>
      </c>
      <c r="S161" s="29">
        <f>IF(H161=0,0,(K161*0.5+L161*0.5)*100)</f>
        <v>6.5500000000000007</v>
      </c>
      <c r="T161" s="29">
        <f>IF(M161="",0,MIN(100,M161/MAX($M$10:$M$511)*100))</f>
        <v>4.0080160320641281E-2</v>
      </c>
      <c r="U161" s="29">
        <f>MIN(100,IF(O161="Yes",50,0)+IF(N161="Yes",30,0)+IF(P161="Yes",20,0))</f>
        <v>50</v>
      </c>
      <c r="V161" s="30">
        <f>ROUND(U161*$C$3+S161*$C$4+T161*$C$5+R161*$C$6,1)</f>
        <v>25</v>
      </c>
      <c r="W161" s="9"/>
    </row>
    <row r="162" spans="1:23" ht="32.25" customHeight="1" x14ac:dyDescent="0.2">
      <c r="A162" s="23">
        <v>220</v>
      </c>
      <c r="B162" s="9" t="s">
        <v>351</v>
      </c>
      <c r="C162" s="9" t="s">
        <v>705</v>
      </c>
      <c r="D162" s="9" t="s">
        <v>690</v>
      </c>
      <c r="E162" s="9" t="s">
        <v>354</v>
      </c>
      <c r="F162" s="24">
        <v>46</v>
      </c>
      <c r="G162" s="24">
        <v>44</v>
      </c>
      <c r="H162" s="24">
        <v>8</v>
      </c>
      <c r="I162" s="25">
        <v>243.6</v>
      </c>
      <c r="J162" s="25">
        <v>194.6</v>
      </c>
      <c r="K162" s="26">
        <v>0.875</v>
      </c>
      <c r="L162" s="26">
        <v>0.625</v>
      </c>
      <c r="M162" s="24">
        <v>1</v>
      </c>
      <c r="N162" s="31"/>
      <c r="O162" s="28" t="s">
        <v>345</v>
      </c>
      <c r="P162" s="28"/>
      <c r="Q162" s="28" t="s">
        <v>345</v>
      </c>
      <c r="R162" s="29">
        <f>LN(F162+1)/LN(MAX($F$10:$F$511)+1)*100</f>
        <v>38.814857583550108</v>
      </c>
      <c r="S162" s="29">
        <f>IF(H162=0,0,(K162*0.5+L162*0.5)*100)</f>
        <v>75</v>
      </c>
      <c r="T162" s="29">
        <f>IF(M162="",0,MIN(100,M162/MAX($M$10:$M$511)*100))</f>
        <v>1.3360053440213761E-2</v>
      </c>
      <c r="U162" s="29">
        <f>MIN(100,IF(O162="Yes",50,0)+IF(N162="Yes",30,0)+IF(P162="Yes",20,0))</f>
        <v>0</v>
      </c>
      <c r="V162" s="30">
        <f>ROUND(U162*$C$3+S162*$C$4+T162*$C$5+R162*$C$6,1)</f>
        <v>24.6</v>
      </c>
      <c r="W162" s="9" t="s">
        <v>652</v>
      </c>
    </row>
    <row r="163" spans="1:23" ht="32.25" customHeight="1" x14ac:dyDescent="0.2">
      <c r="A163" s="23">
        <v>18</v>
      </c>
      <c r="B163" s="9" t="s">
        <v>347</v>
      </c>
      <c r="C163" s="9" t="s">
        <v>390</v>
      </c>
      <c r="D163" s="9"/>
      <c r="E163" s="9" t="s">
        <v>349</v>
      </c>
      <c r="F163" s="24">
        <v>99</v>
      </c>
      <c r="G163" s="24">
        <v>55</v>
      </c>
      <c r="H163" s="24">
        <v>0</v>
      </c>
      <c r="I163" s="25"/>
      <c r="J163" s="25"/>
      <c r="K163" s="26"/>
      <c r="L163" s="26"/>
      <c r="M163" s="27"/>
      <c r="N163" s="28" t="s">
        <v>344</v>
      </c>
      <c r="O163" s="28" t="s">
        <v>345</v>
      </c>
      <c r="P163" s="28" t="s">
        <v>344</v>
      </c>
      <c r="Q163" s="28" t="s">
        <v>345</v>
      </c>
      <c r="R163" s="29">
        <f>LN(F163+1)/LN(MAX($F$10:$F$511)+1)*100</f>
        <v>46.426538254727333</v>
      </c>
      <c r="S163" s="29">
        <f>IF(H163=0,0,(K163*0.5+L163*0.5)*100)</f>
        <v>0</v>
      </c>
      <c r="T163" s="29">
        <f>IF(M163="",0,MIN(100,M163/MAX($M$10:$M$511)*100))</f>
        <v>0</v>
      </c>
      <c r="U163" s="29">
        <f>MIN(100,IF(O163="Yes",50,0)+IF(N163="Yes",30,0)+IF(P163="Yes",20,0))</f>
        <v>50</v>
      </c>
      <c r="V163" s="30">
        <f>ROUND(U163*$C$3+S163*$C$4+T163*$C$5+R163*$C$6,1)</f>
        <v>24.5</v>
      </c>
      <c r="W163" s="9" t="s">
        <v>391</v>
      </c>
    </row>
    <row r="164" spans="1:23" ht="32.25" customHeight="1" x14ac:dyDescent="0.2">
      <c r="A164" s="23">
        <v>221</v>
      </c>
      <c r="B164" s="9" t="s">
        <v>402</v>
      </c>
      <c r="C164" s="9" t="s">
        <v>559</v>
      </c>
      <c r="D164" s="9" t="s">
        <v>706</v>
      </c>
      <c r="E164" s="9" t="s">
        <v>437</v>
      </c>
      <c r="F164" s="24">
        <v>77</v>
      </c>
      <c r="G164" s="24">
        <v>196</v>
      </c>
      <c r="H164" s="24">
        <v>77</v>
      </c>
      <c r="I164" s="25">
        <v>6.2</v>
      </c>
      <c r="J164" s="25">
        <v>12.8</v>
      </c>
      <c r="K164" s="26">
        <v>2.5999999999999999E-2</v>
      </c>
      <c r="L164" s="26">
        <v>0</v>
      </c>
      <c r="M164" s="24">
        <v>35</v>
      </c>
      <c r="N164" s="28" t="s">
        <v>344</v>
      </c>
      <c r="O164" s="28" t="s">
        <v>345</v>
      </c>
      <c r="P164" s="28" t="s">
        <v>344</v>
      </c>
      <c r="Q164" s="28" t="s">
        <v>344</v>
      </c>
      <c r="R164" s="29">
        <f>LN(F164+1)/LN(MAX($F$10:$F$511)+1)*100</f>
        <v>43.921701226686352</v>
      </c>
      <c r="S164" s="29">
        <f>IF(H164=0,0,(K164*0.5+L164*0.5)*100)</f>
        <v>1.3</v>
      </c>
      <c r="T164" s="29">
        <f>IF(M164="",0,MIN(100,M164/MAX($M$10:$M$511)*100))</f>
        <v>0.46760187040748163</v>
      </c>
      <c r="U164" s="29">
        <f>MIN(100,IF(O164="Yes",50,0)+IF(N164="Yes",30,0)+IF(P164="Yes",20,0))</f>
        <v>50</v>
      </c>
      <c r="V164" s="30">
        <f>ROUND(U164*$C$3+S164*$C$4+T164*$C$5+R164*$C$6,1)</f>
        <v>24.5</v>
      </c>
      <c r="W164" s="9"/>
    </row>
    <row r="165" spans="1:23" ht="21.75" customHeight="1" x14ac:dyDescent="0.2">
      <c r="A165" s="23">
        <v>222</v>
      </c>
      <c r="B165" s="9" t="s">
        <v>280</v>
      </c>
      <c r="C165" s="9" t="s">
        <v>492</v>
      </c>
      <c r="D165" s="9" t="s">
        <v>707</v>
      </c>
      <c r="E165" s="9" t="s">
        <v>424</v>
      </c>
      <c r="F165" s="24">
        <v>11</v>
      </c>
      <c r="G165" s="24">
        <v>37</v>
      </c>
      <c r="H165" s="24">
        <v>11</v>
      </c>
      <c r="I165" s="25">
        <v>159.69999999999999</v>
      </c>
      <c r="J165" s="25">
        <v>223.2</v>
      </c>
      <c r="K165" s="26">
        <v>0.72699999999999998</v>
      </c>
      <c r="L165" s="26">
        <v>0.36399999999999999</v>
      </c>
      <c r="M165" s="24">
        <v>17</v>
      </c>
      <c r="N165" s="28" t="s">
        <v>345</v>
      </c>
      <c r="O165" s="28" t="s">
        <v>345</v>
      </c>
      <c r="P165" s="28" t="s">
        <v>344</v>
      </c>
      <c r="Q165" s="28" t="s">
        <v>345</v>
      </c>
      <c r="R165" s="29">
        <f>LN(F165+1)/LN(MAX($F$10:$F$511)+1)*100</f>
        <v>25.051324701707184</v>
      </c>
      <c r="S165" s="29">
        <f>IF(H165=0,0,(K165*0.5+L165*0.5)*100)</f>
        <v>54.55</v>
      </c>
      <c r="T165" s="29">
        <f>IF(M165="",0,MIN(100,M165/MAX($M$10:$M$511)*100))</f>
        <v>0.22712090848363395</v>
      </c>
      <c r="U165" s="29">
        <f>MIN(100,IF(O165="Yes",50,0)+IF(N165="Yes",30,0)+IF(P165="Yes",20,0))</f>
        <v>20</v>
      </c>
      <c r="V165" s="30">
        <f>ROUND(U165*$C$3+S165*$C$4+T165*$C$5+R165*$C$6,1)</f>
        <v>24.5</v>
      </c>
      <c r="W165" s="9" t="s">
        <v>396</v>
      </c>
    </row>
    <row r="166" spans="1:23" ht="32.25" customHeight="1" x14ac:dyDescent="0.2">
      <c r="A166" s="23">
        <v>20</v>
      </c>
      <c r="B166" s="9" t="s">
        <v>397</v>
      </c>
      <c r="C166" s="9" t="s">
        <v>398</v>
      </c>
      <c r="D166" s="9" t="s">
        <v>399</v>
      </c>
      <c r="E166" s="9" t="s">
        <v>400</v>
      </c>
      <c r="F166" s="24">
        <v>45</v>
      </c>
      <c r="G166" s="24">
        <v>57</v>
      </c>
      <c r="H166" s="24">
        <v>45</v>
      </c>
      <c r="I166" s="25">
        <v>3.5</v>
      </c>
      <c r="J166" s="25">
        <v>29</v>
      </c>
      <c r="K166" s="26">
        <v>8.8999999999999996E-2</v>
      </c>
      <c r="L166" s="26">
        <v>0</v>
      </c>
      <c r="M166" s="27"/>
      <c r="N166" s="28" t="s">
        <v>344</v>
      </c>
      <c r="O166" s="28" t="s">
        <v>345</v>
      </c>
      <c r="P166" s="28" t="s">
        <v>344</v>
      </c>
      <c r="Q166" s="28" t="s">
        <v>345</v>
      </c>
      <c r="R166" s="29">
        <f>LN(F166+1)/LN(MAX($F$10:$F$511)+1)*100</f>
        <v>38.598045040456036</v>
      </c>
      <c r="S166" s="29">
        <f>IF(H166=0,0,(K166*0.5+L166*0.5)*100)</f>
        <v>4.45</v>
      </c>
      <c r="T166" s="29">
        <f>IF(M166="",0,MIN(100,M166/MAX($M$10:$M$511)*100))</f>
        <v>0</v>
      </c>
      <c r="U166" s="29">
        <f>MIN(100,IF(O166="Yes",50,0)+IF(N166="Yes",30,0)+IF(P166="Yes",20,0))</f>
        <v>50</v>
      </c>
      <c r="V166" s="30">
        <f>ROUND(U166*$C$3+S166*$C$4+T166*$C$5+R166*$C$6,1)</f>
        <v>24.4</v>
      </c>
      <c r="W166" s="9" t="s">
        <v>379</v>
      </c>
    </row>
    <row r="167" spans="1:23" ht="21.75" customHeight="1" x14ac:dyDescent="0.2">
      <c r="A167" s="23">
        <v>21</v>
      </c>
      <c r="B167" s="9" t="s">
        <v>280</v>
      </c>
      <c r="C167" s="9" t="s">
        <v>341</v>
      </c>
      <c r="D167" s="9" t="s">
        <v>401</v>
      </c>
      <c r="E167" s="9" t="s">
        <v>343</v>
      </c>
      <c r="F167" s="24">
        <v>13</v>
      </c>
      <c r="G167" s="24">
        <v>50</v>
      </c>
      <c r="H167" s="24">
        <v>13</v>
      </c>
      <c r="I167" s="25">
        <v>58.9</v>
      </c>
      <c r="J167" s="25">
        <v>62.1</v>
      </c>
      <c r="K167" s="26">
        <v>0.154</v>
      </c>
      <c r="L167" s="26">
        <v>7.6999999999999999E-2</v>
      </c>
      <c r="M167" s="27"/>
      <c r="N167" s="28" t="s">
        <v>344</v>
      </c>
      <c r="O167" s="28" t="s">
        <v>345</v>
      </c>
      <c r="P167" s="28" t="s">
        <v>344</v>
      </c>
      <c r="Q167" s="28" t="s">
        <v>345</v>
      </c>
      <c r="R167" s="29">
        <f>LN(F167+1)/LN(MAX($F$10:$F$511)+1)*100</f>
        <v>26.605378546615604</v>
      </c>
      <c r="S167" s="29">
        <f>IF(H167=0,0,(K167*0.5+L167*0.5)*100)</f>
        <v>11.549999999999999</v>
      </c>
      <c r="T167" s="29">
        <f>IF(M167="",0,MIN(100,M167/MAX($M$10:$M$511)*100))</f>
        <v>0</v>
      </c>
      <c r="U167" s="29">
        <f>MIN(100,IF(O167="Yes",50,0)+IF(N167="Yes",30,0)+IF(P167="Yes",20,0))</f>
        <v>50</v>
      </c>
      <c r="V167" s="30">
        <f>ROUND(U167*$C$3+S167*$C$4+T167*$C$5+R167*$C$6,1)</f>
        <v>24.4</v>
      </c>
      <c r="W167" s="9" t="s">
        <v>379</v>
      </c>
    </row>
    <row r="168" spans="1:23" ht="32.25" customHeight="1" x14ac:dyDescent="0.2">
      <c r="A168" s="23">
        <v>223</v>
      </c>
      <c r="B168" s="9" t="s">
        <v>280</v>
      </c>
      <c r="C168" s="9" t="s">
        <v>605</v>
      </c>
      <c r="D168" s="9" t="s">
        <v>659</v>
      </c>
      <c r="E168" s="9" t="s">
        <v>660</v>
      </c>
      <c r="F168" s="24">
        <v>14</v>
      </c>
      <c r="G168" s="24">
        <v>59</v>
      </c>
      <c r="H168" s="24">
        <v>14</v>
      </c>
      <c r="I168" s="25">
        <v>49.9</v>
      </c>
      <c r="J168" s="25">
        <v>64.900000000000006</v>
      </c>
      <c r="K168" s="26">
        <v>0.14299999999999999</v>
      </c>
      <c r="L168" s="26">
        <v>7.0999999999999994E-2</v>
      </c>
      <c r="M168" s="24">
        <v>35</v>
      </c>
      <c r="N168" s="28" t="s">
        <v>344</v>
      </c>
      <c r="O168" s="28" t="s">
        <v>345</v>
      </c>
      <c r="P168" s="28" t="s">
        <v>344</v>
      </c>
      <c r="Q168" s="28" t="s">
        <v>345</v>
      </c>
      <c r="R168" s="29">
        <f>LN(F168+1)/LN(MAX($F$10:$F$511)+1)*100</f>
        <v>27.300922914799507</v>
      </c>
      <c r="S168" s="29">
        <f>IF(H168=0,0,(K168*0.5+L168*0.5)*100)</f>
        <v>10.7</v>
      </c>
      <c r="T168" s="29">
        <f>IF(M168="",0,MIN(100,M168/MAX($M$10:$M$511)*100))</f>
        <v>0.46760187040748163</v>
      </c>
      <c r="U168" s="29">
        <f>MIN(100,IF(O168="Yes",50,0)+IF(N168="Yes",30,0)+IF(P168="Yes",20,0))</f>
        <v>50</v>
      </c>
      <c r="V168" s="30">
        <f>ROUND(U168*$C$3+S168*$C$4+T168*$C$5+R168*$C$6,1)</f>
        <v>24.4</v>
      </c>
      <c r="W168" s="9" t="s">
        <v>396</v>
      </c>
    </row>
    <row r="169" spans="1:23" ht="21.75" customHeight="1" x14ac:dyDescent="0.2">
      <c r="A169" s="23">
        <v>224</v>
      </c>
      <c r="B169" s="9" t="s">
        <v>384</v>
      </c>
      <c r="C169" s="9" t="s">
        <v>708</v>
      </c>
      <c r="D169" s="9" t="s">
        <v>648</v>
      </c>
      <c r="E169" s="9" t="s">
        <v>415</v>
      </c>
      <c r="F169" s="24">
        <v>81</v>
      </c>
      <c r="G169" s="24">
        <v>50</v>
      </c>
      <c r="H169" s="24">
        <v>81</v>
      </c>
      <c r="I169" s="25">
        <v>0.2</v>
      </c>
      <c r="J169" s="25">
        <v>1.4</v>
      </c>
      <c r="K169" s="26">
        <v>0</v>
      </c>
      <c r="L169" s="26">
        <v>0</v>
      </c>
      <c r="M169" s="24">
        <v>55</v>
      </c>
      <c r="N169" s="28" t="s">
        <v>344</v>
      </c>
      <c r="O169" s="28" t="s">
        <v>345</v>
      </c>
      <c r="P169" s="28" t="s">
        <v>344</v>
      </c>
      <c r="Q169" s="28" t="s">
        <v>345</v>
      </c>
      <c r="R169" s="29">
        <f>LN(F169+1)/LN(MAX($F$10:$F$511)+1)*100</f>
        <v>44.425876015059856</v>
      </c>
      <c r="S169" s="29">
        <f>IF(H169=0,0,(K169*0.5+L169*0.5)*100)</f>
        <v>0</v>
      </c>
      <c r="T169" s="29">
        <f>IF(M169="",0,MIN(100,M169/MAX($M$10:$M$511)*100))</f>
        <v>0.73480293921175688</v>
      </c>
      <c r="U169" s="29">
        <f>MIN(100,IF(O169="Yes",50,0)+IF(N169="Yes",30,0)+IF(P169="Yes",20,0))</f>
        <v>50</v>
      </c>
      <c r="V169" s="30">
        <f>ROUND(U169*$C$3+S169*$C$4+T169*$C$5+R169*$C$6,1)</f>
        <v>24.3</v>
      </c>
      <c r="W169" s="9"/>
    </row>
    <row r="170" spans="1:23" ht="21.75" customHeight="1" x14ac:dyDescent="0.2">
      <c r="A170" s="23">
        <v>225</v>
      </c>
      <c r="B170" s="9" t="s">
        <v>280</v>
      </c>
      <c r="C170" s="9" t="s">
        <v>492</v>
      </c>
      <c r="D170" s="9" t="s">
        <v>601</v>
      </c>
      <c r="E170" s="9" t="s">
        <v>456</v>
      </c>
      <c r="F170" s="24">
        <v>14</v>
      </c>
      <c r="G170" s="24">
        <v>37</v>
      </c>
      <c r="H170" s="24">
        <v>14</v>
      </c>
      <c r="I170" s="25">
        <v>79.5</v>
      </c>
      <c r="J170" s="25">
        <v>63.5</v>
      </c>
      <c r="K170" s="26">
        <v>0.214</v>
      </c>
      <c r="L170" s="26">
        <v>0</v>
      </c>
      <c r="M170" s="24">
        <v>17</v>
      </c>
      <c r="N170" s="28" t="s">
        <v>344</v>
      </c>
      <c r="O170" s="28" t="s">
        <v>345</v>
      </c>
      <c r="P170" s="28" t="s">
        <v>344</v>
      </c>
      <c r="Q170" s="28" t="s">
        <v>345</v>
      </c>
      <c r="R170" s="29">
        <f>LN(F170+1)/LN(MAX($F$10:$F$511)+1)*100</f>
        <v>27.300922914799507</v>
      </c>
      <c r="S170" s="29">
        <f>IF(H170=0,0,(K170*0.5+L170*0.5)*100)</f>
        <v>10.7</v>
      </c>
      <c r="T170" s="29">
        <f>IF(M170="",0,MIN(100,M170/MAX($M$10:$M$511)*100))</f>
        <v>0.22712090848363395</v>
      </c>
      <c r="U170" s="29">
        <f>MIN(100,IF(O170="Yes",50,0)+IF(N170="Yes",30,0)+IF(P170="Yes",20,0))</f>
        <v>50</v>
      </c>
      <c r="V170" s="30">
        <f>ROUND(U170*$C$3+S170*$C$4+T170*$C$5+R170*$C$6,1)</f>
        <v>24.3</v>
      </c>
      <c r="W170" s="9" t="s">
        <v>396</v>
      </c>
    </row>
    <row r="171" spans="1:23" ht="21.75" customHeight="1" x14ac:dyDescent="0.2">
      <c r="A171" s="23">
        <v>226</v>
      </c>
      <c r="B171" s="9" t="s">
        <v>402</v>
      </c>
      <c r="C171" s="9" t="s">
        <v>709</v>
      </c>
      <c r="D171" s="9" t="s">
        <v>710</v>
      </c>
      <c r="E171" s="9" t="s">
        <v>437</v>
      </c>
      <c r="F171" s="24">
        <v>42</v>
      </c>
      <c r="G171" s="24">
        <v>17</v>
      </c>
      <c r="H171" s="24">
        <v>42</v>
      </c>
      <c r="I171" s="25">
        <v>6.2</v>
      </c>
      <c r="J171" s="25">
        <v>23.3</v>
      </c>
      <c r="K171" s="26">
        <v>4.8000000000000001E-2</v>
      </c>
      <c r="L171" s="26">
        <v>2.4E-2</v>
      </c>
      <c r="M171" s="24">
        <v>1</v>
      </c>
      <c r="N171" s="28" t="s">
        <v>344</v>
      </c>
      <c r="O171" s="28" t="s">
        <v>345</v>
      </c>
      <c r="P171" s="28" t="s">
        <v>344</v>
      </c>
      <c r="Q171" s="28" t="s">
        <v>345</v>
      </c>
      <c r="R171" s="29">
        <f>LN(F171+1)/LN(MAX($F$10:$F$511)+1)*100</f>
        <v>37.918142870428021</v>
      </c>
      <c r="S171" s="29">
        <f>IF(H171=0,0,(K171*0.5+L171*0.5)*100)</f>
        <v>3.6000000000000005</v>
      </c>
      <c r="T171" s="29">
        <f>IF(M171="",0,MIN(100,M171/MAX($M$10:$M$511)*100))</f>
        <v>1.3360053440213761E-2</v>
      </c>
      <c r="U171" s="29">
        <f>MIN(100,IF(O171="Yes",50,0)+IF(N171="Yes",30,0)+IF(P171="Yes",20,0))</f>
        <v>50</v>
      </c>
      <c r="V171" s="30">
        <f>ROUND(U171*$C$3+S171*$C$4+T171*$C$5+R171*$C$6,1)</f>
        <v>24.1</v>
      </c>
      <c r="W171" s="9"/>
    </row>
    <row r="172" spans="1:23" ht="21.75" customHeight="1" x14ac:dyDescent="0.2">
      <c r="A172" s="23">
        <v>227</v>
      </c>
      <c r="B172" s="9" t="s">
        <v>397</v>
      </c>
      <c r="C172" s="9" t="s">
        <v>711</v>
      </c>
      <c r="D172" s="9" t="s">
        <v>412</v>
      </c>
      <c r="E172" s="9" t="s">
        <v>400</v>
      </c>
      <c r="F172" s="24">
        <v>37</v>
      </c>
      <c r="G172" s="24">
        <v>63</v>
      </c>
      <c r="H172" s="24">
        <v>37</v>
      </c>
      <c r="I172" s="25">
        <v>2.5</v>
      </c>
      <c r="J172" s="25">
        <v>18.2</v>
      </c>
      <c r="K172" s="26">
        <v>5.3999999999999999E-2</v>
      </c>
      <c r="L172" s="26">
        <v>2.7E-2</v>
      </c>
      <c r="M172" s="24">
        <v>3</v>
      </c>
      <c r="N172" s="28" t="s">
        <v>344</v>
      </c>
      <c r="O172" s="28" t="s">
        <v>345</v>
      </c>
      <c r="P172" s="28" t="s">
        <v>344</v>
      </c>
      <c r="Q172" s="28" t="s">
        <v>345</v>
      </c>
      <c r="R172" s="29">
        <f>LN(F172+1)/LN(MAX($F$10:$F$511)+1)*100</f>
        <v>36.671941791260529</v>
      </c>
      <c r="S172" s="29">
        <f>IF(H172=0,0,(K172*0.5+L172*0.5)*100)</f>
        <v>4.05</v>
      </c>
      <c r="T172" s="29">
        <f>IF(M172="",0,MIN(100,M172/MAX($M$10:$M$511)*100))</f>
        <v>4.0080160320641281E-2</v>
      </c>
      <c r="U172" s="29">
        <f>MIN(100,IF(O172="Yes",50,0)+IF(N172="Yes",30,0)+IF(P172="Yes",20,0))</f>
        <v>50</v>
      </c>
      <c r="V172" s="30">
        <f>ROUND(U172*$C$3+S172*$C$4+T172*$C$5+R172*$C$6,1)</f>
        <v>24</v>
      </c>
      <c r="W172" s="9"/>
    </row>
    <row r="173" spans="1:23" ht="15" customHeight="1" x14ac:dyDescent="0.2">
      <c r="A173" s="23">
        <v>228</v>
      </c>
      <c r="B173" s="9" t="s">
        <v>397</v>
      </c>
      <c r="C173" s="9" t="s">
        <v>712</v>
      </c>
      <c r="D173" s="9"/>
      <c r="E173" s="9" t="s">
        <v>400</v>
      </c>
      <c r="F173" s="24">
        <v>73</v>
      </c>
      <c r="G173" s="24">
        <v>74</v>
      </c>
      <c r="H173" s="24">
        <v>73</v>
      </c>
      <c r="I173" s="25">
        <v>11.6</v>
      </c>
      <c r="J173" s="25">
        <v>15</v>
      </c>
      <c r="K173" s="26">
        <v>0</v>
      </c>
      <c r="L173" s="26">
        <v>0</v>
      </c>
      <c r="M173" s="24">
        <v>3</v>
      </c>
      <c r="N173" s="28" t="s">
        <v>344</v>
      </c>
      <c r="O173" s="28" t="s">
        <v>345</v>
      </c>
      <c r="P173" s="28" t="s">
        <v>344</v>
      </c>
      <c r="Q173" s="28" t="s">
        <v>345</v>
      </c>
      <c r="R173" s="29">
        <f>LN(F173+1)/LN(MAX($F$10:$F$511)+1)*100</f>
        <v>43.390978971519964</v>
      </c>
      <c r="S173" s="29">
        <f>IF(H173=0,0,(K173*0.5+L173*0.5)*100)</f>
        <v>0</v>
      </c>
      <c r="T173" s="29">
        <f>IF(M173="",0,MIN(100,M173/MAX($M$10:$M$511)*100))</f>
        <v>4.0080160320641281E-2</v>
      </c>
      <c r="U173" s="29">
        <f>MIN(100,IF(O173="Yes",50,0)+IF(N173="Yes",30,0)+IF(P173="Yes",20,0))</f>
        <v>50</v>
      </c>
      <c r="V173" s="30">
        <f>ROUND(U173*$C$3+S173*$C$4+T173*$C$5+R173*$C$6,1)</f>
        <v>24</v>
      </c>
      <c r="W173" s="9" t="s">
        <v>427</v>
      </c>
    </row>
    <row r="174" spans="1:23" ht="21.75" customHeight="1" x14ac:dyDescent="0.2">
      <c r="A174" s="23">
        <v>229</v>
      </c>
      <c r="B174" s="9" t="s">
        <v>208</v>
      </c>
      <c r="C174" s="9" t="s">
        <v>713</v>
      </c>
      <c r="D174" s="9" t="s">
        <v>714</v>
      </c>
      <c r="E174" s="9" t="s">
        <v>715</v>
      </c>
      <c r="F174" s="24">
        <v>33</v>
      </c>
      <c r="G174" s="24">
        <v>19</v>
      </c>
      <c r="H174" s="24">
        <v>33</v>
      </c>
      <c r="I174" s="25">
        <v>33.5</v>
      </c>
      <c r="J174" s="25">
        <v>43.8</v>
      </c>
      <c r="K174" s="26">
        <v>9.0999999999999998E-2</v>
      </c>
      <c r="L174" s="26">
        <v>0</v>
      </c>
      <c r="M174" s="24">
        <v>10</v>
      </c>
      <c r="N174" s="28" t="s">
        <v>344</v>
      </c>
      <c r="O174" s="28" t="s">
        <v>345</v>
      </c>
      <c r="P174" s="28" t="s">
        <v>344</v>
      </c>
      <c r="Q174" s="28" t="s">
        <v>344</v>
      </c>
      <c r="R174" s="29">
        <f>LN(F174+1)/LN(MAX($F$10:$F$511)+1)*100</f>
        <v>35.550632264185325</v>
      </c>
      <c r="S174" s="29">
        <f>IF(H174=0,0,(K174*0.5+L174*0.5)*100)</f>
        <v>4.55</v>
      </c>
      <c r="T174" s="29">
        <f>IF(M174="",0,MIN(100,M174/MAX($M$10:$M$511)*100))</f>
        <v>0.13360053440213762</v>
      </c>
      <c r="U174" s="29">
        <f>MIN(100,IF(O174="Yes",50,0)+IF(N174="Yes",30,0)+IF(P174="Yes",20,0))</f>
        <v>50</v>
      </c>
      <c r="V174" s="30">
        <f>ROUND(U174*$C$3+S174*$C$4+T174*$C$5+R174*$C$6,1)</f>
        <v>24</v>
      </c>
      <c r="W174" s="9"/>
    </row>
    <row r="175" spans="1:23" ht="21.75" customHeight="1" x14ac:dyDescent="0.2">
      <c r="A175" s="23">
        <v>230</v>
      </c>
      <c r="B175" s="9" t="s">
        <v>280</v>
      </c>
      <c r="C175" s="9" t="s">
        <v>492</v>
      </c>
      <c r="D175" s="9" t="s">
        <v>704</v>
      </c>
      <c r="E175" s="9" t="s">
        <v>456</v>
      </c>
      <c r="F175" s="24">
        <v>27</v>
      </c>
      <c r="G175" s="24">
        <v>37</v>
      </c>
      <c r="H175" s="24">
        <v>27</v>
      </c>
      <c r="I175" s="25">
        <v>19.7</v>
      </c>
      <c r="J175" s="25">
        <v>35.9</v>
      </c>
      <c r="K175" s="26">
        <v>0.111</v>
      </c>
      <c r="L175" s="26">
        <v>0</v>
      </c>
      <c r="M175" s="24">
        <v>17</v>
      </c>
      <c r="N175" s="28" t="s">
        <v>344</v>
      </c>
      <c r="O175" s="28" t="s">
        <v>345</v>
      </c>
      <c r="P175" s="28" t="s">
        <v>344</v>
      </c>
      <c r="Q175" s="28" t="s">
        <v>345</v>
      </c>
      <c r="R175" s="29">
        <f>LN(F175+1)/LN(MAX($F$10:$F$511)+1)*100</f>
        <v>33.593268851372713</v>
      </c>
      <c r="S175" s="29">
        <f>IF(H175=0,0,(K175*0.5+L175*0.5)*100)</f>
        <v>5.55</v>
      </c>
      <c r="T175" s="29">
        <f>IF(M175="",0,MIN(100,M175/MAX($M$10:$M$511)*100))</f>
        <v>0.22712090848363395</v>
      </c>
      <c r="U175" s="29">
        <f>MIN(100,IF(O175="Yes",50,0)+IF(N175="Yes",30,0)+IF(P175="Yes",20,0))</f>
        <v>50</v>
      </c>
      <c r="V175" s="30">
        <f>ROUND(U175*$C$3+S175*$C$4+T175*$C$5+R175*$C$6,1)</f>
        <v>24</v>
      </c>
      <c r="W175" s="9"/>
    </row>
    <row r="176" spans="1:23" ht="32.25" customHeight="1" x14ac:dyDescent="0.2">
      <c r="A176" s="23">
        <v>231</v>
      </c>
      <c r="B176" s="9" t="s">
        <v>208</v>
      </c>
      <c r="C176" s="9" t="s">
        <v>716</v>
      </c>
      <c r="D176" s="9" t="s">
        <v>717</v>
      </c>
      <c r="E176" s="9" t="s">
        <v>718</v>
      </c>
      <c r="F176" s="24">
        <v>28</v>
      </c>
      <c r="G176" s="24">
        <v>25</v>
      </c>
      <c r="H176" s="24">
        <v>28</v>
      </c>
      <c r="I176" s="25">
        <v>20.9</v>
      </c>
      <c r="J176" s="25">
        <v>32</v>
      </c>
      <c r="K176" s="26">
        <v>7.0999999999999994E-2</v>
      </c>
      <c r="L176" s="26">
        <v>3.5999999999999997E-2</v>
      </c>
      <c r="M176" s="24">
        <v>11</v>
      </c>
      <c r="N176" s="28" t="s">
        <v>344</v>
      </c>
      <c r="O176" s="28" t="s">
        <v>345</v>
      </c>
      <c r="P176" s="28" t="s">
        <v>344</v>
      </c>
      <c r="Q176" s="28" t="s">
        <v>345</v>
      </c>
      <c r="R176" s="29">
        <f>LN(F176+1)/LN(MAX($F$10:$F$511)+1)*100</f>
        <v>33.947038296546275</v>
      </c>
      <c r="S176" s="29">
        <f>IF(H176=0,0,(K176*0.5+L176*0.5)*100)</f>
        <v>5.35</v>
      </c>
      <c r="T176" s="29">
        <f>IF(M176="",0,MIN(100,M176/MAX($M$10:$M$511)*100))</f>
        <v>0.14696058784235139</v>
      </c>
      <c r="U176" s="29">
        <f>MIN(100,IF(O176="Yes",50,0)+IF(N176="Yes",30,0)+IF(P176="Yes",20,0))</f>
        <v>50</v>
      </c>
      <c r="V176" s="30">
        <f>ROUND(U176*$C$3+S176*$C$4+T176*$C$5+R176*$C$6,1)</f>
        <v>24</v>
      </c>
      <c r="W176" s="9"/>
    </row>
    <row r="177" spans="1:23" ht="21.75" customHeight="1" x14ac:dyDescent="0.2">
      <c r="A177" s="23">
        <v>232</v>
      </c>
      <c r="B177" s="9" t="s">
        <v>397</v>
      </c>
      <c r="C177" s="9" t="s">
        <v>711</v>
      </c>
      <c r="D177" s="9"/>
      <c r="E177" s="9" t="s">
        <v>400</v>
      </c>
      <c r="F177" s="24">
        <v>70</v>
      </c>
      <c r="G177" s="24">
        <v>63</v>
      </c>
      <c r="H177" s="24">
        <v>0</v>
      </c>
      <c r="I177" s="25"/>
      <c r="J177" s="25"/>
      <c r="K177" s="26"/>
      <c r="L177" s="26"/>
      <c r="M177" s="24">
        <v>3</v>
      </c>
      <c r="N177" s="28" t="s">
        <v>344</v>
      </c>
      <c r="O177" s="28" t="s">
        <v>345</v>
      </c>
      <c r="P177" s="28" t="s">
        <v>344</v>
      </c>
      <c r="Q177" s="28" t="s">
        <v>345</v>
      </c>
      <c r="R177" s="29">
        <f>LN(F177+1)/LN(MAX($F$10:$F$511)+1)*100</f>
        <v>42.973758273094752</v>
      </c>
      <c r="S177" s="29">
        <f>IF(H177=0,0,(K177*0.5+L177*0.5)*100)</f>
        <v>0</v>
      </c>
      <c r="T177" s="29">
        <f>IF(M177="",0,MIN(100,M177/MAX($M$10:$M$511)*100))</f>
        <v>4.0080160320641281E-2</v>
      </c>
      <c r="U177" s="29">
        <f>MIN(100,IF(O177="Yes",50,0)+IF(N177="Yes",30,0)+IF(P177="Yes",20,0))</f>
        <v>50</v>
      </c>
      <c r="V177" s="30">
        <f>ROUND(U177*$C$3+S177*$C$4+T177*$C$5+R177*$C$6,1)</f>
        <v>24</v>
      </c>
      <c r="W177" s="9" t="s">
        <v>719</v>
      </c>
    </row>
    <row r="178" spans="1:23" ht="21.75" customHeight="1" x14ac:dyDescent="0.2">
      <c r="A178" s="23">
        <v>233</v>
      </c>
      <c r="B178" s="9" t="s">
        <v>347</v>
      </c>
      <c r="C178" s="9" t="s">
        <v>720</v>
      </c>
      <c r="D178" s="9"/>
      <c r="E178" s="9" t="s">
        <v>485</v>
      </c>
      <c r="F178" s="24">
        <v>3</v>
      </c>
      <c r="G178" s="24">
        <v>3</v>
      </c>
      <c r="H178" s="24">
        <v>3</v>
      </c>
      <c r="I178" s="25">
        <v>64.900000000000006</v>
      </c>
      <c r="J178" s="25">
        <v>69.8</v>
      </c>
      <c r="K178" s="26">
        <v>0.33300000000000002</v>
      </c>
      <c r="L178" s="26">
        <v>0</v>
      </c>
      <c r="M178" s="24">
        <v>31</v>
      </c>
      <c r="N178" s="28" t="s">
        <v>344</v>
      </c>
      <c r="O178" s="28" t="s">
        <v>345</v>
      </c>
      <c r="P178" s="28" t="s">
        <v>344</v>
      </c>
      <c r="Q178" s="28" t="s">
        <v>345</v>
      </c>
      <c r="R178" s="29">
        <f>LN(F178+1)/LN(MAX($F$10:$F$511)+1)*100</f>
        <v>13.975780609514226</v>
      </c>
      <c r="S178" s="29">
        <f>IF(H178=0,0,(K178*0.5+L178*0.5)*100)</f>
        <v>16.650000000000002</v>
      </c>
      <c r="T178" s="29">
        <f>IF(M178="",0,MIN(100,M178/MAX($M$10:$M$511)*100))</f>
        <v>0.41416165664662663</v>
      </c>
      <c r="U178" s="29">
        <f>MIN(100,IF(O178="Yes",50,0)+IF(N178="Yes",30,0)+IF(P178="Yes",20,0))</f>
        <v>50</v>
      </c>
      <c r="V178" s="30">
        <f>ROUND(U178*$C$3+S178*$C$4+T178*$C$5+R178*$C$6,1)</f>
        <v>23.9</v>
      </c>
      <c r="W178" s="9" t="s">
        <v>627</v>
      </c>
    </row>
    <row r="179" spans="1:23" ht="21.75" customHeight="1" x14ac:dyDescent="0.2">
      <c r="A179" s="23">
        <v>22</v>
      </c>
      <c r="B179" s="9" t="s">
        <v>402</v>
      </c>
      <c r="C179" s="9" t="s">
        <v>403</v>
      </c>
      <c r="D179" s="9" t="s">
        <v>404</v>
      </c>
      <c r="E179" s="9" t="s">
        <v>405</v>
      </c>
      <c r="F179" s="24">
        <v>3</v>
      </c>
      <c r="G179" s="27"/>
      <c r="H179" s="24">
        <v>3</v>
      </c>
      <c r="I179" s="25">
        <v>61.5</v>
      </c>
      <c r="J179" s="25">
        <v>86.2</v>
      </c>
      <c r="K179" s="26">
        <v>0.33300000000000002</v>
      </c>
      <c r="L179" s="26">
        <v>0</v>
      </c>
      <c r="M179" s="27"/>
      <c r="N179" s="28" t="s">
        <v>344</v>
      </c>
      <c r="O179" s="28" t="s">
        <v>345</v>
      </c>
      <c r="P179" s="28" t="s">
        <v>344</v>
      </c>
      <c r="Q179" s="28" t="s">
        <v>345</v>
      </c>
      <c r="R179" s="29">
        <f>LN(F179+1)/LN(MAX($F$10:$F$511)+1)*100</f>
        <v>13.975780609514226</v>
      </c>
      <c r="S179" s="29">
        <f>IF(H179=0,0,(K179*0.5+L179*0.5)*100)</f>
        <v>16.650000000000002</v>
      </c>
      <c r="T179" s="29">
        <f>IF(M179="",0,MIN(100,M179/MAX($M$10:$M$511)*100))</f>
        <v>0</v>
      </c>
      <c r="U179" s="29">
        <f>MIN(100,IF(O179="Yes",50,0)+IF(N179="Yes",30,0)+IF(P179="Yes",20,0))</f>
        <v>50</v>
      </c>
      <c r="V179" s="30">
        <f>ROUND(U179*$C$3+S179*$C$4+T179*$C$5+R179*$C$6,1)</f>
        <v>23.8</v>
      </c>
      <c r="W179" s="9" t="s">
        <v>406</v>
      </c>
    </row>
    <row r="180" spans="1:23" ht="21.75" customHeight="1" x14ac:dyDescent="0.2">
      <c r="A180" s="23">
        <v>234</v>
      </c>
      <c r="B180" s="9" t="s">
        <v>384</v>
      </c>
      <c r="C180" s="9" t="s">
        <v>702</v>
      </c>
      <c r="D180" s="9" t="s">
        <v>434</v>
      </c>
      <c r="E180" s="9" t="s">
        <v>415</v>
      </c>
      <c r="F180" s="24">
        <v>56</v>
      </c>
      <c r="G180" s="24">
        <v>102</v>
      </c>
      <c r="H180" s="24">
        <v>56</v>
      </c>
      <c r="I180" s="25">
        <v>4</v>
      </c>
      <c r="J180" s="25">
        <v>9.4</v>
      </c>
      <c r="K180" s="26">
        <v>1.7999999999999999E-2</v>
      </c>
      <c r="L180" s="26">
        <v>0</v>
      </c>
      <c r="M180" s="24">
        <v>1</v>
      </c>
      <c r="N180" s="28" t="s">
        <v>344</v>
      </c>
      <c r="O180" s="28" t="s">
        <v>345</v>
      </c>
      <c r="P180" s="28" t="s">
        <v>344</v>
      </c>
      <c r="Q180" s="28" t="s">
        <v>345</v>
      </c>
      <c r="R180" s="29">
        <f>LN(F180+1)/LN(MAX($F$10:$F$511)+1)*100</f>
        <v>40.759595578696377</v>
      </c>
      <c r="S180" s="29">
        <f>IF(H180=0,0,(K180*0.5+L180*0.5)*100)</f>
        <v>0.89999999999999991</v>
      </c>
      <c r="T180" s="29">
        <f>IF(M180="",0,MIN(100,M180/MAX($M$10:$M$511)*100))</f>
        <v>1.3360053440213761E-2</v>
      </c>
      <c r="U180" s="29">
        <f>MIN(100,IF(O180="Yes",50,0)+IF(N180="Yes",30,0)+IF(P180="Yes",20,0))</f>
        <v>50</v>
      </c>
      <c r="V180" s="30">
        <f>ROUND(U180*$C$3+S180*$C$4+T180*$C$5+R180*$C$6,1)</f>
        <v>23.8</v>
      </c>
      <c r="W180" s="9"/>
    </row>
    <row r="181" spans="1:23" ht="32.25" customHeight="1" x14ac:dyDescent="0.2">
      <c r="A181" s="23">
        <v>235</v>
      </c>
      <c r="B181" s="9" t="s">
        <v>384</v>
      </c>
      <c r="C181" s="9" t="s">
        <v>452</v>
      </c>
      <c r="D181" s="9" t="s">
        <v>648</v>
      </c>
      <c r="E181" s="9" t="s">
        <v>415</v>
      </c>
      <c r="F181" s="24">
        <v>3</v>
      </c>
      <c r="G181" s="24">
        <v>10</v>
      </c>
      <c r="H181" s="24">
        <v>3</v>
      </c>
      <c r="I181" s="25">
        <v>75.900000000000006</v>
      </c>
      <c r="J181" s="25">
        <v>79.400000000000006</v>
      </c>
      <c r="K181" s="26">
        <v>0.33300000000000002</v>
      </c>
      <c r="L181" s="26">
        <v>0</v>
      </c>
      <c r="M181" s="24">
        <v>24</v>
      </c>
      <c r="N181" s="28" t="s">
        <v>344</v>
      </c>
      <c r="O181" s="28" t="s">
        <v>345</v>
      </c>
      <c r="P181" s="28" t="s">
        <v>344</v>
      </c>
      <c r="Q181" s="28" t="s">
        <v>345</v>
      </c>
      <c r="R181" s="29">
        <f>LN(F181+1)/LN(MAX($F$10:$F$511)+1)*100</f>
        <v>13.975780609514226</v>
      </c>
      <c r="S181" s="29">
        <f>IF(H181=0,0,(K181*0.5+L181*0.5)*100)</f>
        <v>16.650000000000002</v>
      </c>
      <c r="T181" s="29">
        <f>IF(M181="",0,MIN(100,M181/MAX($M$10:$M$511)*100))</f>
        <v>0.32064128256513025</v>
      </c>
      <c r="U181" s="29">
        <f>MIN(100,IF(O181="Yes",50,0)+IF(N181="Yes",30,0)+IF(P181="Yes",20,0))</f>
        <v>50</v>
      </c>
      <c r="V181" s="30">
        <f>ROUND(U181*$C$3+S181*$C$4+T181*$C$5+R181*$C$6,1)</f>
        <v>23.8</v>
      </c>
      <c r="W181" s="9" t="s">
        <v>388</v>
      </c>
    </row>
    <row r="182" spans="1:23" ht="21.75" customHeight="1" x14ac:dyDescent="0.2">
      <c r="A182" s="23">
        <v>236</v>
      </c>
      <c r="B182" s="9" t="s">
        <v>439</v>
      </c>
      <c r="C182" s="9" t="s">
        <v>721</v>
      </c>
      <c r="D182" s="9"/>
      <c r="E182" s="9" t="s">
        <v>722</v>
      </c>
      <c r="F182" s="24">
        <v>3</v>
      </c>
      <c r="G182" s="24">
        <v>3</v>
      </c>
      <c r="H182" s="24">
        <v>3</v>
      </c>
      <c r="I182" s="25">
        <v>87.5</v>
      </c>
      <c r="J182" s="25">
        <v>90.9</v>
      </c>
      <c r="K182" s="26">
        <v>0.33300000000000002</v>
      </c>
      <c r="L182" s="26">
        <v>0</v>
      </c>
      <c r="M182" s="24">
        <v>3</v>
      </c>
      <c r="N182" s="28" t="s">
        <v>344</v>
      </c>
      <c r="O182" s="28" t="s">
        <v>345</v>
      </c>
      <c r="P182" s="28" t="s">
        <v>344</v>
      </c>
      <c r="Q182" s="28" t="s">
        <v>345</v>
      </c>
      <c r="R182" s="29">
        <f>LN(F182+1)/LN(MAX($F$10:$F$511)+1)*100</f>
        <v>13.975780609514226</v>
      </c>
      <c r="S182" s="29">
        <f>IF(H182=0,0,(K182*0.5+L182*0.5)*100)</f>
        <v>16.650000000000002</v>
      </c>
      <c r="T182" s="29">
        <f>IF(M182="",0,MIN(100,M182/MAX($M$10:$M$511)*100))</f>
        <v>4.0080160320641281E-2</v>
      </c>
      <c r="U182" s="29">
        <f>MIN(100,IF(O182="Yes",50,0)+IF(N182="Yes",30,0)+IF(P182="Yes",20,0))</f>
        <v>50</v>
      </c>
      <c r="V182" s="30">
        <f>ROUND(U182*$C$3+S182*$C$4+T182*$C$5+R182*$C$6,1)</f>
        <v>23.8</v>
      </c>
      <c r="W182" s="9" t="s">
        <v>723</v>
      </c>
    </row>
    <row r="183" spans="1:23" ht="21.75" customHeight="1" x14ac:dyDescent="0.2">
      <c r="A183" s="23">
        <v>237</v>
      </c>
      <c r="B183" s="9" t="s">
        <v>280</v>
      </c>
      <c r="C183" s="9" t="s">
        <v>724</v>
      </c>
      <c r="D183" s="9" t="s">
        <v>663</v>
      </c>
      <c r="E183" s="9" t="s">
        <v>488</v>
      </c>
      <c r="F183" s="24">
        <v>40</v>
      </c>
      <c r="G183" s="24">
        <v>47</v>
      </c>
      <c r="H183" s="24">
        <v>40</v>
      </c>
      <c r="I183" s="25">
        <v>31</v>
      </c>
      <c r="J183" s="25">
        <v>35.6</v>
      </c>
      <c r="K183" s="26">
        <v>0.05</v>
      </c>
      <c r="L183" s="26">
        <v>0</v>
      </c>
      <c r="M183" s="24">
        <v>3</v>
      </c>
      <c r="N183" s="28" t="s">
        <v>344</v>
      </c>
      <c r="O183" s="28" t="s">
        <v>345</v>
      </c>
      <c r="P183" s="28" t="s">
        <v>344</v>
      </c>
      <c r="Q183" s="28" t="s">
        <v>345</v>
      </c>
      <c r="R183" s="29">
        <f>LN(F183+1)/LN(MAX($F$10:$F$511)+1)*100</f>
        <v>37.437985710302748</v>
      </c>
      <c r="S183" s="29">
        <f>IF(H183=0,0,(K183*0.5+L183*0.5)*100)</f>
        <v>2.5</v>
      </c>
      <c r="T183" s="29">
        <f>IF(M183="",0,MIN(100,M183/MAX($M$10:$M$511)*100))</f>
        <v>4.0080160320641281E-2</v>
      </c>
      <c r="U183" s="29">
        <f>MIN(100,IF(O183="Yes",50,0)+IF(N183="Yes",30,0)+IF(P183="Yes",20,0))</f>
        <v>50</v>
      </c>
      <c r="V183" s="30">
        <f>ROUND(U183*$C$3+S183*$C$4+T183*$C$5+R183*$C$6,1)</f>
        <v>23.8</v>
      </c>
      <c r="W183" s="9"/>
    </row>
    <row r="184" spans="1:23" ht="15" customHeight="1" x14ac:dyDescent="0.2">
      <c r="A184" s="23">
        <v>238</v>
      </c>
      <c r="B184" s="9" t="s">
        <v>208</v>
      </c>
      <c r="C184" s="9" t="s">
        <v>716</v>
      </c>
      <c r="D184" s="9" t="s">
        <v>725</v>
      </c>
      <c r="E184" s="9" t="s">
        <v>718</v>
      </c>
      <c r="F184" s="24">
        <v>10</v>
      </c>
      <c r="G184" s="24">
        <v>25</v>
      </c>
      <c r="H184" s="24">
        <v>10</v>
      </c>
      <c r="I184" s="25">
        <v>18.5</v>
      </c>
      <c r="J184" s="25">
        <v>35.6</v>
      </c>
      <c r="K184" s="26">
        <v>0.1</v>
      </c>
      <c r="L184" s="26">
        <v>0.1</v>
      </c>
      <c r="M184" s="24">
        <v>11</v>
      </c>
      <c r="N184" s="28" t="s">
        <v>344</v>
      </c>
      <c r="O184" s="28" t="s">
        <v>345</v>
      </c>
      <c r="P184" s="28" t="s">
        <v>344</v>
      </c>
      <c r="Q184" s="28" t="s">
        <v>345</v>
      </c>
      <c r="R184" s="29">
        <f>LN(F184+1)/LN(MAX($F$10:$F$511)+1)*100</f>
        <v>24.174128667845775</v>
      </c>
      <c r="S184" s="29">
        <f>IF(H184=0,0,(K184*0.5+L184*0.5)*100)</f>
        <v>10</v>
      </c>
      <c r="T184" s="29">
        <f>IF(M184="",0,MIN(100,M184/MAX($M$10:$M$511)*100))</f>
        <v>0.14696058784235139</v>
      </c>
      <c r="U184" s="29">
        <f>MIN(100,IF(O184="Yes",50,0)+IF(N184="Yes",30,0)+IF(P184="Yes",20,0))</f>
        <v>50</v>
      </c>
      <c r="V184" s="30">
        <f>ROUND(U184*$C$3+S184*$C$4+T184*$C$5+R184*$C$6,1)</f>
        <v>23.7</v>
      </c>
      <c r="W184" s="9" t="s">
        <v>396</v>
      </c>
    </row>
    <row r="185" spans="1:23" ht="21.75" customHeight="1" x14ac:dyDescent="0.2">
      <c r="A185" s="23">
        <v>24</v>
      </c>
      <c r="B185" s="9" t="s">
        <v>376</v>
      </c>
      <c r="C185" s="9" t="s">
        <v>409</v>
      </c>
      <c r="D185" s="9" t="s">
        <v>410</v>
      </c>
      <c r="E185" s="9" t="s">
        <v>378</v>
      </c>
      <c r="F185" s="24">
        <v>10</v>
      </c>
      <c r="G185" s="24">
        <v>7</v>
      </c>
      <c r="H185" s="24">
        <v>10</v>
      </c>
      <c r="I185" s="25">
        <v>1</v>
      </c>
      <c r="J185" s="25">
        <v>42.1</v>
      </c>
      <c r="K185" s="26">
        <v>0.1</v>
      </c>
      <c r="L185" s="26">
        <v>0.1</v>
      </c>
      <c r="M185" s="27"/>
      <c r="N185" s="28" t="s">
        <v>344</v>
      </c>
      <c r="O185" s="28" t="s">
        <v>345</v>
      </c>
      <c r="P185" s="28" t="s">
        <v>344</v>
      </c>
      <c r="Q185" s="28" t="s">
        <v>345</v>
      </c>
      <c r="R185" s="29">
        <f>LN(F185+1)/LN(MAX($F$10:$F$511)+1)*100</f>
        <v>24.174128667845775</v>
      </c>
      <c r="S185" s="29">
        <f>IF(H185=0,0,(K185*0.5+L185*0.5)*100)</f>
        <v>10</v>
      </c>
      <c r="T185" s="29">
        <f>IF(M185="",0,MIN(100,M185/MAX($M$10:$M$511)*100))</f>
        <v>0</v>
      </c>
      <c r="U185" s="29">
        <f>MIN(100,IF(O185="Yes",50,0)+IF(N185="Yes",30,0)+IF(P185="Yes",20,0))</f>
        <v>50</v>
      </c>
      <c r="V185" s="30">
        <f>ROUND(U185*$C$3+S185*$C$4+T185*$C$5+R185*$C$6,1)</f>
        <v>23.6</v>
      </c>
      <c r="W185" s="9" t="s">
        <v>379</v>
      </c>
    </row>
    <row r="186" spans="1:23" ht="21.75" customHeight="1" x14ac:dyDescent="0.2">
      <c r="A186" s="23">
        <v>239</v>
      </c>
      <c r="B186" s="9" t="s">
        <v>280</v>
      </c>
      <c r="C186" s="9" t="s">
        <v>600</v>
      </c>
      <c r="D186" s="9" t="s">
        <v>666</v>
      </c>
      <c r="E186" s="9" t="s">
        <v>660</v>
      </c>
      <c r="F186" s="24">
        <v>19</v>
      </c>
      <c r="G186" s="24">
        <v>76</v>
      </c>
      <c r="H186" s="24">
        <v>19</v>
      </c>
      <c r="I186" s="25">
        <v>37.299999999999997</v>
      </c>
      <c r="J186" s="25">
        <v>46.3</v>
      </c>
      <c r="K186" s="26">
        <v>0.105</v>
      </c>
      <c r="L186" s="26">
        <v>0</v>
      </c>
      <c r="M186" s="24">
        <v>72</v>
      </c>
      <c r="N186" s="28" t="s">
        <v>344</v>
      </c>
      <c r="O186" s="28" t="s">
        <v>345</v>
      </c>
      <c r="P186" s="28" t="s">
        <v>344</v>
      </c>
      <c r="Q186" s="28" t="s">
        <v>345</v>
      </c>
      <c r="R186" s="29">
        <f>LN(F186+1)/LN(MAX($F$10:$F$511)+1)*100</f>
        <v>30.201159432120779</v>
      </c>
      <c r="S186" s="29">
        <f>IF(H186=0,0,(K186*0.5+L186*0.5)*100)</f>
        <v>5.25</v>
      </c>
      <c r="T186" s="29">
        <f>IF(M186="",0,MIN(100,M186/MAX($M$10:$M$511)*100))</f>
        <v>0.96192384769539074</v>
      </c>
      <c r="U186" s="29">
        <f>MIN(100,IF(O186="Yes",50,0)+IF(N186="Yes",30,0)+IF(P186="Yes",20,0))</f>
        <v>50</v>
      </c>
      <c r="V186" s="30">
        <f>ROUND(U186*$C$3+S186*$C$4+T186*$C$5+R186*$C$6,1)</f>
        <v>23.6</v>
      </c>
      <c r="W186" s="9" t="s">
        <v>396</v>
      </c>
    </row>
    <row r="187" spans="1:23" ht="21.75" customHeight="1" x14ac:dyDescent="0.2">
      <c r="A187" s="23">
        <v>26</v>
      </c>
      <c r="B187" s="9" t="s">
        <v>397</v>
      </c>
      <c r="C187" s="9" t="s">
        <v>398</v>
      </c>
      <c r="D187" s="9" t="s">
        <v>412</v>
      </c>
      <c r="E187" s="9" t="s">
        <v>400</v>
      </c>
      <c r="F187" s="24">
        <v>12</v>
      </c>
      <c r="G187" s="24">
        <v>57</v>
      </c>
      <c r="H187" s="24">
        <v>12</v>
      </c>
      <c r="I187" s="25">
        <v>26.1</v>
      </c>
      <c r="J187" s="25">
        <v>33.4</v>
      </c>
      <c r="K187" s="26">
        <v>0.16700000000000001</v>
      </c>
      <c r="L187" s="26">
        <v>0</v>
      </c>
      <c r="M187" s="27"/>
      <c r="N187" s="28" t="s">
        <v>344</v>
      </c>
      <c r="O187" s="28" t="s">
        <v>345</v>
      </c>
      <c r="P187" s="28" t="s">
        <v>344</v>
      </c>
      <c r="Q187" s="28" t="s">
        <v>345</v>
      </c>
      <c r="R187" s="29">
        <f>LN(F187+1)/LN(MAX($F$10:$F$511)+1)*100</f>
        <v>25.85826682973628</v>
      </c>
      <c r="S187" s="29">
        <f>IF(H187=0,0,(K187*0.5+L187*0.5)*100)</f>
        <v>8.35</v>
      </c>
      <c r="T187" s="29">
        <f>IF(M187="",0,MIN(100,M187/MAX($M$10:$M$511)*100))</f>
        <v>0</v>
      </c>
      <c r="U187" s="29">
        <f>MIN(100,IF(O187="Yes",50,0)+IF(N187="Yes",30,0)+IF(P187="Yes",20,0))</f>
        <v>50</v>
      </c>
      <c r="V187" s="30">
        <f>ROUND(U187*$C$3+S187*$C$4+T187*$C$5+R187*$C$6,1)</f>
        <v>23.5</v>
      </c>
      <c r="W187" s="9" t="s">
        <v>379</v>
      </c>
    </row>
    <row r="188" spans="1:23" ht="21.75" customHeight="1" x14ac:dyDescent="0.2">
      <c r="A188" s="23">
        <v>240</v>
      </c>
      <c r="B188" s="9" t="s">
        <v>280</v>
      </c>
      <c r="C188" s="9" t="s">
        <v>605</v>
      </c>
      <c r="D188" s="9" t="s">
        <v>578</v>
      </c>
      <c r="E188" s="9" t="s">
        <v>488</v>
      </c>
      <c r="F188" s="24">
        <v>14</v>
      </c>
      <c r="G188" s="24">
        <v>59</v>
      </c>
      <c r="H188" s="24">
        <v>14</v>
      </c>
      <c r="I188" s="25">
        <v>49</v>
      </c>
      <c r="J188" s="25">
        <v>51.7</v>
      </c>
      <c r="K188" s="26">
        <v>0.14299999999999999</v>
      </c>
      <c r="L188" s="26">
        <v>0</v>
      </c>
      <c r="M188" s="24">
        <v>35</v>
      </c>
      <c r="N188" s="28" t="s">
        <v>344</v>
      </c>
      <c r="O188" s="28" t="s">
        <v>345</v>
      </c>
      <c r="P188" s="28" t="s">
        <v>344</v>
      </c>
      <c r="Q188" s="28" t="s">
        <v>345</v>
      </c>
      <c r="R188" s="29">
        <f>LN(F188+1)/LN(MAX($F$10:$F$511)+1)*100</f>
        <v>27.300922914799507</v>
      </c>
      <c r="S188" s="29">
        <f>IF(H188=0,0,(K188*0.5+L188*0.5)*100)</f>
        <v>7.1499999999999995</v>
      </c>
      <c r="T188" s="29">
        <f>IF(M188="",0,MIN(100,M188/MAX($M$10:$M$511)*100))</f>
        <v>0.46760187040748163</v>
      </c>
      <c r="U188" s="29">
        <f>MIN(100,IF(O188="Yes",50,0)+IF(N188="Yes",30,0)+IF(P188="Yes",20,0))</f>
        <v>50</v>
      </c>
      <c r="V188" s="30">
        <f>ROUND(U188*$C$3+S188*$C$4+T188*$C$5+R188*$C$6,1)</f>
        <v>23.5</v>
      </c>
      <c r="W188" s="9" t="s">
        <v>396</v>
      </c>
    </row>
    <row r="189" spans="1:23" ht="32.25" customHeight="1" x14ac:dyDescent="0.2">
      <c r="A189" s="23">
        <v>241</v>
      </c>
      <c r="B189" s="9" t="s">
        <v>402</v>
      </c>
      <c r="C189" s="9" t="s">
        <v>726</v>
      </c>
      <c r="D189" s="9" t="s">
        <v>236</v>
      </c>
      <c r="E189" s="9" t="s">
        <v>437</v>
      </c>
      <c r="F189" s="24">
        <v>40</v>
      </c>
      <c r="G189" s="27"/>
      <c r="H189" s="24">
        <v>40</v>
      </c>
      <c r="I189" s="25">
        <v>13.8</v>
      </c>
      <c r="J189" s="25">
        <v>22</v>
      </c>
      <c r="K189" s="26">
        <v>2.5000000000000001E-2</v>
      </c>
      <c r="L189" s="26">
        <v>0</v>
      </c>
      <c r="M189" s="24">
        <v>6</v>
      </c>
      <c r="N189" s="28" t="s">
        <v>344</v>
      </c>
      <c r="O189" s="28" t="s">
        <v>345</v>
      </c>
      <c r="P189" s="28" t="s">
        <v>344</v>
      </c>
      <c r="Q189" s="28" t="s">
        <v>345</v>
      </c>
      <c r="R189" s="29">
        <f>LN(F189+1)/LN(MAX($F$10:$F$511)+1)*100</f>
        <v>37.437985710302748</v>
      </c>
      <c r="S189" s="29">
        <f>IF(H189=0,0,(K189*0.5+L189*0.5)*100)</f>
        <v>1.25</v>
      </c>
      <c r="T189" s="29">
        <f>IF(M189="",0,MIN(100,M189/MAX($M$10:$M$511)*100))</f>
        <v>8.0160320641282562E-2</v>
      </c>
      <c r="U189" s="29">
        <f>MIN(100,IF(O189="Yes",50,0)+IF(N189="Yes",30,0)+IF(P189="Yes",20,0))</f>
        <v>50</v>
      </c>
      <c r="V189" s="30">
        <f>ROUND(U189*$C$3+S189*$C$4+T189*$C$5+R189*$C$6,1)</f>
        <v>23.4</v>
      </c>
      <c r="W189" s="9" t="s">
        <v>475</v>
      </c>
    </row>
    <row r="190" spans="1:23" ht="21.75" customHeight="1" x14ac:dyDescent="0.2">
      <c r="A190" s="23">
        <v>242</v>
      </c>
      <c r="B190" s="9" t="s">
        <v>280</v>
      </c>
      <c r="C190" s="9" t="s">
        <v>727</v>
      </c>
      <c r="D190" s="9" t="s">
        <v>694</v>
      </c>
      <c r="E190" s="9" t="s">
        <v>604</v>
      </c>
      <c r="F190" s="24">
        <v>4</v>
      </c>
      <c r="G190" s="24">
        <v>5</v>
      </c>
      <c r="H190" s="24">
        <v>4</v>
      </c>
      <c r="I190" s="25">
        <v>44.5</v>
      </c>
      <c r="J190" s="25">
        <v>56</v>
      </c>
      <c r="K190" s="26">
        <v>0.25</v>
      </c>
      <c r="L190" s="26">
        <v>0</v>
      </c>
      <c r="M190" s="24">
        <v>1</v>
      </c>
      <c r="N190" s="28" t="s">
        <v>344</v>
      </c>
      <c r="O190" s="28" t="s">
        <v>345</v>
      </c>
      <c r="P190" s="28" t="s">
        <v>344</v>
      </c>
      <c r="Q190" s="28" t="s">
        <v>345</v>
      </c>
      <c r="R190" s="29">
        <f>LN(F190+1)/LN(MAX($F$10:$F$511)+1)*100</f>
        <v>16.225378822606551</v>
      </c>
      <c r="S190" s="29">
        <f>IF(H190=0,0,(K190*0.5+L190*0.5)*100)</f>
        <v>12.5</v>
      </c>
      <c r="T190" s="29">
        <f>IF(M190="",0,MIN(100,M190/MAX($M$10:$M$511)*100))</f>
        <v>1.3360053440213761E-2</v>
      </c>
      <c r="U190" s="29">
        <f>MIN(100,IF(O190="Yes",50,0)+IF(N190="Yes",30,0)+IF(P190="Yes",20,0))</f>
        <v>50</v>
      </c>
      <c r="V190" s="30">
        <f>ROUND(U190*$C$3+S190*$C$4+T190*$C$5+R190*$C$6,1)</f>
        <v>23.1</v>
      </c>
      <c r="W190" s="9" t="s">
        <v>451</v>
      </c>
    </row>
    <row r="191" spans="1:23" ht="21.75" customHeight="1" x14ac:dyDescent="0.2">
      <c r="A191" s="23">
        <v>243</v>
      </c>
      <c r="B191" s="9" t="s">
        <v>280</v>
      </c>
      <c r="C191" s="9" t="s">
        <v>685</v>
      </c>
      <c r="D191" s="9" t="s">
        <v>455</v>
      </c>
      <c r="E191" s="9" t="s">
        <v>343</v>
      </c>
      <c r="F191" s="24">
        <v>4</v>
      </c>
      <c r="G191" s="27"/>
      <c r="H191" s="24">
        <v>4</v>
      </c>
      <c r="I191" s="25">
        <v>18.3</v>
      </c>
      <c r="J191" s="25">
        <v>39.5</v>
      </c>
      <c r="K191" s="26">
        <v>0.25</v>
      </c>
      <c r="L191" s="26">
        <v>0</v>
      </c>
      <c r="M191" s="24">
        <v>1</v>
      </c>
      <c r="N191" s="28" t="s">
        <v>344</v>
      </c>
      <c r="O191" s="28" t="s">
        <v>345</v>
      </c>
      <c r="P191" s="28" t="s">
        <v>344</v>
      </c>
      <c r="Q191" s="28" t="s">
        <v>345</v>
      </c>
      <c r="R191" s="29">
        <f>LN(F191+1)/LN(MAX($F$10:$F$511)+1)*100</f>
        <v>16.225378822606551</v>
      </c>
      <c r="S191" s="29">
        <f>IF(H191=0,0,(K191*0.5+L191*0.5)*100)</f>
        <v>12.5</v>
      </c>
      <c r="T191" s="29">
        <f>IF(M191="",0,MIN(100,M191/MAX($M$10:$M$511)*100))</f>
        <v>1.3360053440213761E-2</v>
      </c>
      <c r="U191" s="29">
        <f>MIN(100,IF(O191="Yes",50,0)+IF(N191="Yes",30,0)+IF(P191="Yes",20,0))</f>
        <v>50</v>
      </c>
      <c r="V191" s="30">
        <f>ROUND(U191*$C$3+S191*$C$4+T191*$C$5+R191*$C$6,1)</f>
        <v>23.1</v>
      </c>
      <c r="W191" s="9" t="s">
        <v>686</v>
      </c>
    </row>
    <row r="192" spans="1:23" ht="32.25" customHeight="1" x14ac:dyDescent="0.2">
      <c r="A192" s="23">
        <v>244</v>
      </c>
      <c r="B192" s="9" t="s">
        <v>248</v>
      </c>
      <c r="C192" s="9" t="s">
        <v>728</v>
      </c>
      <c r="D192" s="9" t="s">
        <v>729</v>
      </c>
      <c r="E192" s="9" t="s">
        <v>565</v>
      </c>
      <c r="F192" s="24">
        <v>14</v>
      </c>
      <c r="G192" s="24">
        <v>57</v>
      </c>
      <c r="H192" s="24">
        <v>14</v>
      </c>
      <c r="I192" s="25">
        <v>198.5</v>
      </c>
      <c r="J192" s="25">
        <v>224.2</v>
      </c>
      <c r="K192" s="26">
        <v>1</v>
      </c>
      <c r="L192" s="26">
        <v>0.5</v>
      </c>
      <c r="M192" s="24">
        <v>34</v>
      </c>
      <c r="N192" s="31"/>
      <c r="O192" s="28" t="s">
        <v>345</v>
      </c>
      <c r="P192" s="28"/>
      <c r="Q192" s="28" t="s">
        <v>344</v>
      </c>
      <c r="R192" s="29">
        <f>LN(F192+1)/LN(MAX($F$10:$F$511)+1)*100</f>
        <v>27.300922914799507</v>
      </c>
      <c r="S192" s="29">
        <f>IF(H192=0,0,(K192*0.5+L192*0.5)*100)</f>
        <v>75</v>
      </c>
      <c r="T192" s="29">
        <f>IF(M192="",0,MIN(100,M192/MAX($M$10:$M$511)*100))</f>
        <v>0.4542418169672679</v>
      </c>
      <c r="U192" s="29">
        <f>MIN(100,IF(O192="Yes",50,0)+IF(N192="Yes",30,0)+IF(P192="Yes",20,0))</f>
        <v>0</v>
      </c>
      <c r="V192" s="30">
        <f>ROUND(U192*$C$3+S192*$C$4+T192*$C$5+R192*$C$6,1)</f>
        <v>23</v>
      </c>
      <c r="W192" s="9" t="s">
        <v>370</v>
      </c>
    </row>
    <row r="193" spans="1:23" ht="32.25" customHeight="1" x14ac:dyDescent="0.2">
      <c r="A193" s="23">
        <v>245</v>
      </c>
      <c r="B193" s="9" t="s">
        <v>280</v>
      </c>
      <c r="C193" s="9" t="s">
        <v>454</v>
      </c>
      <c r="D193" s="9" t="s">
        <v>401</v>
      </c>
      <c r="E193" s="9" t="s">
        <v>343</v>
      </c>
      <c r="F193" s="24">
        <v>24</v>
      </c>
      <c r="G193" s="24">
        <v>26</v>
      </c>
      <c r="H193" s="24">
        <v>24</v>
      </c>
      <c r="I193" s="25">
        <v>40.1</v>
      </c>
      <c r="J193" s="25">
        <v>45.2</v>
      </c>
      <c r="K193" s="26">
        <v>4.2000000000000003E-2</v>
      </c>
      <c r="L193" s="26">
        <v>0</v>
      </c>
      <c r="M193" s="24">
        <v>2</v>
      </c>
      <c r="N193" s="28" t="s">
        <v>344</v>
      </c>
      <c r="O193" s="28" t="s">
        <v>345</v>
      </c>
      <c r="P193" s="28" t="s">
        <v>344</v>
      </c>
      <c r="Q193" s="28" t="s">
        <v>345</v>
      </c>
      <c r="R193" s="29">
        <f>LN(F193+1)/LN(MAX($F$10:$F$511)+1)*100</f>
        <v>32.450757645213102</v>
      </c>
      <c r="S193" s="29">
        <f>IF(H193=0,0,(K193*0.5+L193*0.5)*100)</f>
        <v>2.1</v>
      </c>
      <c r="T193" s="29">
        <f>IF(M193="",0,MIN(100,M193/MAX($M$10:$M$511)*100))</f>
        <v>2.6720106880427523E-2</v>
      </c>
      <c r="U193" s="29">
        <f>MIN(100,IF(O193="Yes",50,0)+IF(N193="Yes",30,0)+IF(P193="Yes",20,0))</f>
        <v>50</v>
      </c>
      <c r="V193" s="30">
        <f>ROUND(U193*$C$3+S193*$C$4+T193*$C$5+R193*$C$6,1)</f>
        <v>22.9</v>
      </c>
      <c r="W193" s="9"/>
    </row>
    <row r="194" spans="1:23" ht="32.25" customHeight="1" x14ac:dyDescent="0.2">
      <c r="A194" s="23">
        <v>246</v>
      </c>
      <c r="B194" s="9" t="s">
        <v>384</v>
      </c>
      <c r="C194" s="9" t="s">
        <v>610</v>
      </c>
      <c r="D194" s="9" t="s">
        <v>730</v>
      </c>
      <c r="E194" s="9" t="s">
        <v>415</v>
      </c>
      <c r="F194" s="24">
        <v>6</v>
      </c>
      <c r="G194" s="24">
        <v>777</v>
      </c>
      <c r="H194" s="24">
        <v>6</v>
      </c>
      <c r="I194" s="25">
        <v>26.9</v>
      </c>
      <c r="J194" s="25">
        <v>37.799999999999997</v>
      </c>
      <c r="K194" s="26">
        <v>0.16700000000000001</v>
      </c>
      <c r="L194" s="26">
        <v>0</v>
      </c>
      <c r="M194" s="24">
        <v>74</v>
      </c>
      <c r="N194" s="28" t="s">
        <v>344</v>
      </c>
      <c r="O194" s="28" t="s">
        <v>345</v>
      </c>
      <c r="P194" s="28" t="s">
        <v>344</v>
      </c>
      <c r="Q194" s="28" t="s">
        <v>345</v>
      </c>
      <c r="R194" s="29">
        <f>LN(F194+1)/LN(MAX($F$10:$F$511)+1)*100</f>
        <v>19.617488241858492</v>
      </c>
      <c r="S194" s="29">
        <f>IF(H194=0,0,(K194*0.5+L194*0.5)*100)</f>
        <v>8.35</v>
      </c>
      <c r="T194" s="29">
        <f>IF(M194="",0,MIN(100,M194/MAX($M$10:$M$511)*100))</f>
        <v>0.98864395457581833</v>
      </c>
      <c r="U194" s="29">
        <f>MIN(100,IF(O194="Yes",50,0)+IF(N194="Yes",30,0)+IF(P194="Yes",20,0))</f>
        <v>50</v>
      </c>
      <c r="V194" s="30">
        <f>ROUND(U194*$C$3+S194*$C$4+T194*$C$5+R194*$C$6,1)</f>
        <v>22.8</v>
      </c>
      <c r="W194" s="9" t="s">
        <v>388</v>
      </c>
    </row>
    <row r="195" spans="1:23" ht="32.25" customHeight="1" x14ac:dyDescent="0.2">
      <c r="A195" s="23">
        <v>247</v>
      </c>
      <c r="B195" s="9" t="s">
        <v>208</v>
      </c>
      <c r="C195" s="9" t="s">
        <v>612</v>
      </c>
      <c r="D195" s="9" t="s">
        <v>731</v>
      </c>
      <c r="E195" s="9" t="s">
        <v>718</v>
      </c>
      <c r="F195" s="24">
        <v>7</v>
      </c>
      <c r="G195" s="24">
        <v>7</v>
      </c>
      <c r="H195" s="24">
        <v>7</v>
      </c>
      <c r="I195" s="25">
        <v>82.3</v>
      </c>
      <c r="J195" s="25">
        <v>71</v>
      </c>
      <c r="K195" s="26">
        <v>0.14299999999999999</v>
      </c>
      <c r="L195" s="26">
        <v>0</v>
      </c>
      <c r="M195" s="24">
        <v>82</v>
      </c>
      <c r="N195" s="28" t="s">
        <v>344</v>
      </c>
      <c r="O195" s="28" t="s">
        <v>345</v>
      </c>
      <c r="P195" s="28" t="s">
        <v>344</v>
      </c>
      <c r="Q195" s="28" t="s">
        <v>344</v>
      </c>
      <c r="R195" s="29">
        <f>LN(F195+1)/LN(MAX($F$10:$F$511)+1)*100</f>
        <v>20.963670914271336</v>
      </c>
      <c r="S195" s="29">
        <f>IF(H195=0,0,(K195*0.5+L195*0.5)*100)</f>
        <v>7.1499999999999995</v>
      </c>
      <c r="T195" s="29">
        <f>IF(M195="",0,MIN(100,M195/MAX($M$10:$M$511)*100))</f>
        <v>1.0955243820975284</v>
      </c>
      <c r="U195" s="29">
        <f>MIN(100,IF(O195="Yes",50,0)+IF(N195="Yes",30,0)+IF(P195="Yes",20,0))</f>
        <v>50</v>
      </c>
      <c r="V195" s="30">
        <f>ROUND(U195*$C$3+S195*$C$4+T195*$C$5+R195*$C$6,1)</f>
        <v>22.7</v>
      </c>
      <c r="W195" s="9" t="s">
        <v>388</v>
      </c>
    </row>
    <row r="196" spans="1:23" ht="21.75" customHeight="1" x14ac:dyDescent="0.2">
      <c r="A196" s="23">
        <v>248</v>
      </c>
      <c r="B196" s="9" t="s">
        <v>384</v>
      </c>
      <c r="C196" s="9" t="s">
        <v>732</v>
      </c>
      <c r="D196" s="9"/>
      <c r="E196" s="9" t="s">
        <v>657</v>
      </c>
      <c r="F196" s="24">
        <v>28</v>
      </c>
      <c r="G196" s="24">
        <v>5</v>
      </c>
      <c r="H196" s="24">
        <v>28</v>
      </c>
      <c r="I196" s="25">
        <v>30.5</v>
      </c>
      <c r="J196" s="25">
        <v>37.5</v>
      </c>
      <c r="K196" s="26">
        <v>0</v>
      </c>
      <c r="L196" s="26">
        <v>0</v>
      </c>
      <c r="M196" s="24">
        <v>19</v>
      </c>
      <c r="N196" s="31"/>
      <c r="O196" s="32" t="s">
        <v>344</v>
      </c>
      <c r="P196" s="28"/>
      <c r="Q196" s="28" t="s">
        <v>345</v>
      </c>
      <c r="R196" s="29">
        <f>LN(F196+1)/LN(MAX($F$10:$F$511)+1)*100</f>
        <v>33.947038296546275</v>
      </c>
      <c r="S196" s="29">
        <f>IF(H196=0,0,(K196*0.5+L196*0.5)*100)</f>
        <v>0</v>
      </c>
      <c r="T196" s="29">
        <f>IF(M196="",0,MIN(100,M196/MAX($M$10:$M$511)*100))</f>
        <v>0.25384101536406145</v>
      </c>
      <c r="U196" s="29">
        <f>MIN(100,IF(O196="Yes",50,0)+IF(N196="Yes",30,0)+IF(P196="Yes",20,0))</f>
        <v>50</v>
      </c>
      <c r="V196" s="30">
        <f>ROUND(U196*$C$3+S196*$C$4+T196*$C$5+R196*$C$6,1)</f>
        <v>22.7</v>
      </c>
      <c r="W196" s="9" t="s">
        <v>583</v>
      </c>
    </row>
    <row r="197" spans="1:23" ht="21.75" customHeight="1" x14ac:dyDescent="0.2">
      <c r="A197" s="23">
        <v>249</v>
      </c>
      <c r="B197" s="9" t="s">
        <v>397</v>
      </c>
      <c r="C197" s="9" t="s">
        <v>584</v>
      </c>
      <c r="D197" s="9" t="s">
        <v>733</v>
      </c>
      <c r="E197" s="9" t="s">
        <v>400</v>
      </c>
      <c r="F197" s="24">
        <v>28</v>
      </c>
      <c r="G197" s="24">
        <v>55</v>
      </c>
      <c r="H197" s="24">
        <v>28</v>
      </c>
      <c r="I197" s="25">
        <v>7.1</v>
      </c>
      <c r="J197" s="25">
        <v>9.6</v>
      </c>
      <c r="K197" s="26">
        <v>0</v>
      </c>
      <c r="L197" s="26">
        <v>0</v>
      </c>
      <c r="M197" s="24">
        <v>3</v>
      </c>
      <c r="N197" s="28" t="s">
        <v>344</v>
      </c>
      <c r="O197" s="28" t="s">
        <v>345</v>
      </c>
      <c r="P197" s="28" t="s">
        <v>344</v>
      </c>
      <c r="Q197" s="28" t="s">
        <v>345</v>
      </c>
      <c r="R197" s="29">
        <f>LN(F197+1)/LN(MAX($F$10:$F$511)+1)*100</f>
        <v>33.947038296546275</v>
      </c>
      <c r="S197" s="29">
        <f>IF(H197=0,0,(K197*0.5+L197*0.5)*100)</f>
        <v>0</v>
      </c>
      <c r="T197" s="29">
        <f>IF(M197="",0,MIN(100,M197/MAX($M$10:$M$511)*100))</f>
        <v>4.0080160320641281E-2</v>
      </c>
      <c r="U197" s="29">
        <f>MIN(100,IF(O197="Yes",50,0)+IF(N197="Yes",30,0)+IF(P197="Yes",20,0))</f>
        <v>50</v>
      </c>
      <c r="V197" s="30">
        <f>ROUND(U197*$C$3+S197*$C$4+T197*$C$5+R197*$C$6,1)</f>
        <v>22.6</v>
      </c>
      <c r="W197" s="9"/>
    </row>
    <row r="198" spans="1:23" ht="42.75" customHeight="1" x14ac:dyDescent="0.2">
      <c r="A198" s="23">
        <v>28</v>
      </c>
      <c r="B198" s="9" t="s">
        <v>280</v>
      </c>
      <c r="C198" s="9" t="s">
        <v>341</v>
      </c>
      <c r="D198" s="9" t="s">
        <v>408</v>
      </c>
      <c r="E198" s="9" t="s">
        <v>343</v>
      </c>
      <c r="F198" s="24">
        <v>6</v>
      </c>
      <c r="G198" s="24">
        <v>50</v>
      </c>
      <c r="H198" s="24">
        <v>6</v>
      </c>
      <c r="I198" s="25">
        <v>84.5</v>
      </c>
      <c r="J198" s="25">
        <v>88.4</v>
      </c>
      <c r="K198" s="26">
        <v>0.16700000000000001</v>
      </c>
      <c r="L198" s="26">
        <v>0</v>
      </c>
      <c r="M198" s="27"/>
      <c r="N198" s="28" t="s">
        <v>344</v>
      </c>
      <c r="O198" s="28" t="s">
        <v>345</v>
      </c>
      <c r="P198" s="28" t="s">
        <v>344</v>
      </c>
      <c r="Q198" s="28" t="s">
        <v>345</v>
      </c>
      <c r="R198" s="29">
        <f>LN(F198+1)/LN(MAX($F$10:$F$511)+1)*100</f>
        <v>19.617488241858492</v>
      </c>
      <c r="S198" s="29">
        <f>IF(H198=0,0,(K198*0.5+L198*0.5)*100)</f>
        <v>8.35</v>
      </c>
      <c r="T198" s="29">
        <f>IF(M198="",0,MIN(100,M198/MAX($M$10:$M$511)*100))</f>
        <v>0</v>
      </c>
      <c r="U198" s="29">
        <f>MIN(100,IF(O198="Yes",50,0)+IF(N198="Yes",30,0)+IF(P198="Yes",20,0))</f>
        <v>50</v>
      </c>
      <c r="V198" s="30">
        <f>ROUND(U198*$C$3+S198*$C$4+T198*$C$5+R198*$C$6,1)</f>
        <v>22.5</v>
      </c>
      <c r="W198" s="9" t="s">
        <v>346</v>
      </c>
    </row>
    <row r="199" spans="1:23" ht="32.25" customHeight="1" x14ac:dyDescent="0.2">
      <c r="A199" s="23">
        <v>250</v>
      </c>
      <c r="B199" s="9" t="s">
        <v>384</v>
      </c>
      <c r="C199" s="9" t="s">
        <v>664</v>
      </c>
      <c r="D199" s="9" t="s">
        <v>434</v>
      </c>
      <c r="E199" s="9" t="s">
        <v>415</v>
      </c>
      <c r="F199" s="24">
        <v>11</v>
      </c>
      <c r="G199" s="24">
        <v>10</v>
      </c>
      <c r="H199" s="24">
        <v>11</v>
      </c>
      <c r="I199" s="25">
        <v>17.899999999999999</v>
      </c>
      <c r="J199" s="25">
        <v>29.3</v>
      </c>
      <c r="K199" s="26">
        <v>9.0999999999999998E-2</v>
      </c>
      <c r="L199" s="26">
        <v>0</v>
      </c>
      <c r="M199" s="24">
        <v>1</v>
      </c>
      <c r="N199" s="28" t="s">
        <v>344</v>
      </c>
      <c r="O199" s="28" t="s">
        <v>345</v>
      </c>
      <c r="P199" s="28" t="s">
        <v>344</v>
      </c>
      <c r="Q199" s="28" t="s">
        <v>345</v>
      </c>
      <c r="R199" s="29">
        <f>LN(F199+1)/LN(MAX($F$10:$F$511)+1)*100</f>
        <v>25.051324701707184</v>
      </c>
      <c r="S199" s="29">
        <f>IF(H199=0,0,(K199*0.5+L199*0.5)*100)</f>
        <v>4.55</v>
      </c>
      <c r="T199" s="29">
        <f>IF(M199="",0,MIN(100,M199/MAX($M$10:$M$511)*100))</f>
        <v>1.3360053440213761E-2</v>
      </c>
      <c r="U199" s="29">
        <f>MIN(100,IF(O199="Yes",50,0)+IF(N199="Yes",30,0)+IF(P199="Yes",20,0))</f>
        <v>50</v>
      </c>
      <c r="V199" s="30">
        <f>ROUND(U199*$C$3+S199*$C$4+T199*$C$5+R199*$C$6,1)</f>
        <v>22.4</v>
      </c>
      <c r="W199" s="9"/>
    </row>
    <row r="200" spans="1:23" ht="32.25" customHeight="1" x14ac:dyDescent="0.2">
      <c r="A200" s="23">
        <v>251</v>
      </c>
      <c r="B200" s="9" t="s">
        <v>208</v>
      </c>
      <c r="C200" s="9" t="s">
        <v>734</v>
      </c>
      <c r="D200" s="9" t="s">
        <v>735</v>
      </c>
      <c r="E200" s="9" t="s">
        <v>715</v>
      </c>
      <c r="F200" s="24">
        <v>24</v>
      </c>
      <c r="G200" s="24">
        <v>9</v>
      </c>
      <c r="H200" s="24">
        <v>24</v>
      </c>
      <c r="I200" s="25">
        <v>25.7</v>
      </c>
      <c r="J200" s="25">
        <v>26.8</v>
      </c>
      <c r="K200" s="26">
        <v>0</v>
      </c>
      <c r="L200" s="26">
        <v>0</v>
      </c>
      <c r="M200" s="24">
        <v>7</v>
      </c>
      <c r="N200" s="28" t="s">
        <v>344</v>
      </c>
      <c r="O200" s="28" t="s">
        <v>345</v>
      </c>
      <c r="P200" s="28" t="s">
        <v>344</v>
      </c>
      <c r="Q200" s="28" t="s">
        <v>345</v>
      </c>
      <c r="R200" s="29">
        <f>LN(F200+1)/LN(MAX($F$10:$F$511)+1)*100</f>
        <v>32.450757645213102</v>
      </c>
      <c r="S200" s="29">
        <f>IF(H200=0,0,(K200*0.5+L200*0.5)*100)</f>
        <v>0</v>
      </c>
      <c r="T200" s="29">
        <f>IF(M200="",0,MIN(100,M200/MAX($M$10:$M$511)*100))</f>
        <v>9.3520374081496327E-2</v>
      </c>
      <c r="U200" s="29">
        <f>MIN(100,IF(O200="Yes",50,0)+IF(N200="Yes",30,0)+IF(P200="Yes",20,0))</f>
        <v>50</v>
      </c>
      <c r="V200" s="30">
        <f>ROUND(U200*$C$3+S200*$C$4+T200*$C$5+R200*$C$6,1)</f>
        <v>22.4</v>
      </c>
      <c r="W200" s="9"/>
    </row>
    <row r="201" spans="1:23" ht="21.75" customHeight="1" x14ac:dyDescent="0.2">
      <c r="A201" s="23">
        <v>252</v>
      </c>
      <c r="B201" s="9" t="s">
        <v>280</v>
      </c>
      <c r="C201" s="9" t="s">
        <v>600</v>
      </c>
      <c r="D201" s="9" t="s">
        <v>647</v>
      </c>
      <c r="E201" s="9" t="s">
        <v>488</v>
      </c>
      <c r="F201" s="24">
        <v>17</v>
      </c>
      <c r="G201" s="24">
        <v>76</v>
      </c>
      <c r="H201" s="24">
        <v>17</v>
      </c>
      <c r="I201" s="25">
        <v>47.2</v>
      </c>
      <c r="J201" s="25">
        <v>48.4</v>
      </c>
      <c r="K201" s="26">
        <v>0</v>
      </c>
      <c r="L201" s="26">
        <v>0</v>
      </c>
      <c r="M201" s="24">
        <v>72</v>
      </c>
      <c r="N201" s="28" t="s">
        <v>344</v>
      </c>
      <c r="O201" s="28" t="s">
        <v>345</v>
      </c>
      <c r="P201" s="28" t="s">
        <v>344</v>
      </c>
      <c r="Q201" s="28" t="s">
        <v>345</v>
      </c>
      <c r="R201" s="29">
        <f>LN(F201+1)/LN(MAX($F$10:$F$511)+1)*100</f>
        <v>29.138978489143025</v>
      </c>
      <c r="S201" s="29">
        <f>IF(H201=0,0,(K201*0.5+L201*0.5)*100)</f>
        <v>0</v>
      </c>
      <c r="T201" s="29">
        <f>IF(M201="",0,MIN(100,M201/MAX($M$10:$M$511)*100))</f>
        <v>0.96192384769539074</v>
      </c>
      <c r="U201" s="29">
        <f>MIN(100,IF(O201="Yes",50,0)+IF(N201="Yes",30,0)+IF(P201="Yes",20,0))</f>
        <v>50</v>
      </c>
      <c r="V201" s="30">
        <f>ROUND(U201*$C$3+S201*$C$4+T201*$C$5+R201*$C$6,1)</f>
        <v>22.1</v>
      </c>
      <c r="W201" s="9" t="s">
        <v>396</v>
      </c>
    </row>
    <row r="202" spans="1:23" ht="32.25" customHeight="1" x14ac:dyDescent="0.2">
      <c r="A202" s="23">
        <v>29</v>
      </c>
      <c r="B202" s="9" t="s">
        <v>416</v>
      </c>
      <c r="C202" s="9" t="s">
        <v>417</v>
      </c>
      <c r="D202" s="9" t="s">
        <v>236</v>
      </c>
      <c r="E202" s="9" t="s">
        <v>418</v>
      </c>
      <c r="F202" s="24">
        <v>6</v>
      </c>
      <c r="G202" s="24">
        <v>2</v>
      </c>
      <c r="H202" s="24">
        <v>6</v>
      </c>
      <c r="I202" s="25">
        <v>233.5</v>
      </c>
      <c r="J202" s="25">
        <v>274.7</v>
      </c>
      <c r="K202" s="26">
        <v>1</v>
      </c>
      <c r="L202" s="26">
        <v>0.5</v>
      </c>
      <c r="M202" s="27"/>
      <c r="N202" s="31"/>
      <c r="O202" s="28" t="s">
        <v>345</v>
      </c>
      <c r="P202" s="28"/>
      <c r="Q202" s="28" t="s">
        <v>345</v>
      </c>
      <c r="R202" s="29">
        <f>LN(F202+1)/LN(MAX($F$10:$F$511)+1)*100</f>
        <v>19.617488241858492</v>
      </c>
      <c r="S202" s="29">
        <f>IF(H202=0,0,(K202*0.5+L202*0.5)*100)</f>
        <v>75</v>
      </c>
      <c r="T202" s="29">
        <f>IF(M202="",0,MIN(100,M202/MAX($M$10:$M$511)*100))</f>
        <v>0</v>
      </c>
      <c r="U202" s="29">
        <f>MIN(100,IF(O202="Yes",50,0)+IF(N202="Yes",30,0)+IF(P202="Yes",20,0))</f>
        <v>0</v>
      </c>
      <c r="V202" s="30">
        <f>ROUND(U202*$C$3+S202*$C$4+T202*$C$5+R202*$C$6,1)</f>
        <v>21.7</v>
      </c>
      <c r="W202" s="9" t="s">
        <v>419</v>
      </c>
    </row>
    <row r="203" spans="1:23" ht="15" customHeight="1" x14ac:dyDescent="0.2">
      <c r="A203" s="23">
        <v>253</v>
      </c>
      <c r="B203" s="9" t="s">
        <v>416</v>
      </c>
      <c r="C203" s="9" t="s">
        <v>448</v>
      </c>
      <c r="D203" s="9" t="s">
        <v>736</v>
      </c>
      <c r="E203" s="9" t="s">
        <v>737</v>
      </c>
      <c r="F203" s="24">
        <v>6</v>
      </c>
      <c r="G203" s="24">
        <v>16</v>
      </c>
      <c r="H203" s="24">
        <v>6</v>
      </c>
      <c r="I203" s="25">
        <v>223.2</v>
      </c>
      <c r="J203" s="25">
        <v>266.5</v>
      </c>
      <c r="K203" s="26">
        <v>0.83299999999999996</v>
      </c>
      <c r="L203" s="26">
        <v>0.66700000000000004</v>
      </c>
      <c r="M203" s="24">
        <v>1</v>
      </c>
      <c r="N203" s="31"/>
      <c r="O203" s="28" t="s">
        <v>345</v>
      </c>
      <c r="P203" s="28"/>
      <c r="Q203" s="28" t="s">
        <v>345</v>
      </c>
      <c r="R203" s="29">
        <f>LN(F203+1)/LN(MAX($F$10:$F$511)+1)*100</f>
        <v>19.617488241858492</v>
      </c>
      <c r="S203" s="29">
        <f>IF(H203=0,0,(K203*0.5+L203*0.5)*100)</f>
        <v>75</v>
      </c>
      <c r="T203" s="29">
        <f>IF(M203="",0,MIN(100,M203/MAX($M$10:$M$511)*100))</f>
        <v>1.3360053440213761E-2</v>
      </c>
      <c r="U203" s="29">
        <f>MIN(100,IF(O203="Yes",50,0)+IF(N203="Yes",30,0)+IF(P203="Yes",20,0))</f>
        <v>0</v>
      </c>
      <c r="V203" s="30">
        <f>ROUND(U203*$C$3+S203*$C$4+T203*$C$5+R203*$C$6,1)</f>
        <v>21.7</v>
      </c>
      <c r="W203" s="9" t="s">
        <v>738</v>
      </c>
    </row>
    <row r="204" spans="1:23" ht="32.25" customHeight="1" x14ac:dyDescent="0.2">
      <c r="A204" s="23">
        <v>254</v>
      </c>
      <c r="B204" s="9" t="s">
        <v>384</v>
      </c>
      <c r="C204" s="9" t="s">
        <v>499</v>
      </c>
      <c r="D204" s="9" t="s">
        <v>739</v>
      </c>
      <c r="E204" s="9" t="s">
        <v>501</v>
      </c>
      <c r="F204" s="24">
        <v>2</v>
      </c>
      <c r="G204" s="24">
        <v>20</v>
      </c>
      <c r="H204" s="24">
        <v>2</v>
      </c>
      <c r="I204" s="25">
        <v>247.9</v>
      </c>
      <c r="J204" s="25">
        <v>247.9</v>
      </c>
      <c r="K204" s="26">
        <v>0.5</v>
      </c>
      <c r="L204" s="26">
        <v>0.5</v>
      </c>
      <c r="M204" s="24">
        <v>138</v>
      </c>
      <c r="N204" s="28" t="s">
        <v>345</v>
      </c>
      <c r="O204" s="28" t="s">
        <v>345</v>
      </c>
      <c r="P204" s="28" t="s">
        <v>344</v>
      </c>
      <c r="Q204" s="28" t="s">
        <v>344</v>
      </c>
      <c r="R204" s="29">
        <f>LN(F204+1)/LN(MAX($F$10:$F$511)+1)*100</f>
        <v>11.075544092192956</v>
      </c>
      <c r="S204" s="29">
        <f>IF(H204=0,0,(K204*0.5+L204*0.5)*100)</f>
        <v>50</v>
      </c>
      <c r="T204" s="29">
        <f>IF(M204="",0,MIN(100,M204/MAX($M$10:$M$511)*100))</f>
        <v>1.8436873747494988</v>
      </c>
      <c r="U204" s="29">
        <f>MIN(100,IF(O204="Yes",50,0)+IF(N204="Yes",30,0)+IF(P204="Yes",20,0))</f>
        <v>20</v>
      </c>
      <c r="V204" s="30">
        <f>ROUND(U204*$C$3+S204*$C$4+T204*$C$5+R204*$C$6,1)</f>
        <v>21.6</v>
      </c>
      <c r="W204" s="9" t="s">
        <v>388</v>
      </c>
    </row>
    <row r="205" spans="1:23" ht="21.75" customHeight="1" x14ac:dyDescent="0.2">
      <c r="A205" s="23">
        <v>255</v>
      </c>
      <c r="B205" s="9" t="s">
        <v>416</v>
      </c>
      <c r="C205" s="9" t="s">
        <v>740</v>
      </c>
      <c r="D205" s="9"/>
      <c r="E205" s="9" t="s">
        <v>418</v>
      </c>
      <c r="F205" s="24">
        <v>85</v>
      </c>
      <c r="G205" s="24">
        <v>46</v>
      </c>
      <c r="H205" s="24">
        <v>85</v>
      </c>
      <c r="I205" s="25">
        <v>142</v>
      </c>
      <c r="J205" s="25">
        <v>166.2</v>
      </c>
      <c r="K205" s="26">
        <v>0.753</v>
      </c>
      <c r="L205" s="26">
        <v>0.4</v>
      </c>
      <c r="M205" s="24">
        <v>34</v>
      </c>
      <c r="N205" s="31"/>
      <c r="O205" s="28" t="s">
        <v>345</v>
      </c>
      <c r="P205" s="28"/>
      <c r="Q205" s="28" t="s">
        <v>345</v>
      </c>
      <c r="R205" s="29">
        <f>LN(F205+1)/LN(MAX($F$10:$F$511)+1)*100</f>
        <v>44.906033175185136</v>
      </c>
      <c r="S205" s="29">
        <f>IF(H205=0,0,(K205*0.5+L205*0.5)*100)</f>
        <v>57.65</v>
      </c>
      <c r="T205" s="29">
        <f>IF(M205="",0,MIN(100,M205/MAX($M$10:$M$511)*100))</f>
        <v>0.4542418169672679</v>
      </c>
      <c r="U205" s="29">
        <f>MIN(100,IF(O205="Yes",50,0)+IF(N205="Yes",30,0)+IF(P205="Yes",20,0))</f>
        <v>0</v>
      </c>
      <c r="V205" s="30">
        <f>ROUND(U205*$C$3+S205*$C$4+T205*$C$5+R205*$C$6,1)</f>
        <v>21.3</v>
      </c>
      <c r="W205" s="9" t="s">
        <v>583</v>
      </c>
    </row>
    <row r="206" spans="1:23" ht="32.25" customHeight="1" x14ac:dyDescent="0.2">
      <c r="A206" s="23">
        <v>31</v>
      </c>
      <c r="B206" s="9" t="s">
        <v>280</v>
      </c>
      <c r="C206" s="9" t="s">
        <v>341</v>
      </c>
      <c r="D206" s="9" t="s">
        <v>423</v>
      </c>
      <c r="E206" s="9" t="s">
        <v>424</v>
      </c>
      <c r="F206" s="24">
        <v>2</v>
      </c>
      <c r="G206" s="24">
        <v>50</v>
      </c>
      <c r="H206" s="24">
        <v>2</v>
      </c>
      <c r="I206" s="25">
        <v>102.6</v>
      </c>
      <c r="J206" s="25">
        <v>102.6</v>
      </c>
      <c r="K206" s="26">
        <v>1</v>
      </c>
      <c r="L206" s="26">
        <v>0</v>
      </c>
      <c r="M206" s="27"/>
      <c r="N206" s="28" t="s">
        <v>345</v>
      </c>
      <c r="O206" s="28" t="s">
        <v>345</v>
      </c>
      <c r="P206" s="28" t="s">
        <v>344</v>
      </c>
      <c r="Q206" s="28" t="s">
        <v>345</v>
      </c>
      <c r="R206" s="29">
        <f>LN(F206+1)/LN(MAX($F$10:$F$511)+1)*100</f>
        <v>11.075544092192956</v>
      </c>
      <c r="S206" s="29">
        <f>IF(H206=0,0,(K206*0.5+L206*0.5)*100)</f>
        <v>50</v>
      </c>
      <c r="T206" s="29">
        <f>IF(M206="",0,MIN(100,M206/MAX($M$10:$M$511)*100))</f>
        <v>0</v>
      </c>
      <c r="U206" s="29">
        <f>MIN(100,IF(O206="Yes",50,0)+IF(N206="Yes",30,0)+IF(P206="Yes",20,0))</f>
        <v>20</v>
      </c>
      <c r="V206" s="30">
        <f>ROUND(U206*$C$3+S206*$C$4+T206*$C$5+R206*$C$6,1)</f>
        <v>21.2</v>
      </c>
      <c r="W206" s="9" t="s">
        <v>346</v>
      </c>
    </row>
    <row r="207" spans="1:23" ht="32.25" customHeight="1" x14ac:dyDescent="0.2">
      <c r="A207" s="23">
        <v>256</v>
      </c>
      <c r="B207" s="9" t="s">
        <v>208</v>
      </c>
      <c r="C207" s="9" t="s">
        <v>716</v>
      </c>
      <c r="D207" s="9" t="s">
        <v>741</v>
      </c>
      <c r="E207" s="9" t="s">
        <v>718</v>
      </c>
      <c r="F207" s="24">
        <v>10</v>
      </c>
      <c r="G207" s="24">
        <v>25</v>
      </c>
      <c r="H207" s="24">
        <v>10</v>
      </c>
      <c r="I207" s="25">
        <v>31.7</v>
      </c>
      <c r="J207" s="25">
        <v>38.4</v>
      </c>
      <c r="K207" s="26">
        <v>0</v>
      </c>
      <c r="L207" s="26">
        <v>0</v>
      </c>
      <c r="M207" s="24">
        <v>11</v>
      </c>
      <c r="N207" s="28" t="s">
        <v>344</v>
      </c>
      <c r="O207" s="28" t="s">
        <v>345</v>
      </c>
      <c r="P207" s="28" t="s">
        <v>344</v>
      </c>
      <c r="Q207" s="28" t="s">
        <v>345</v>
      </c>
      <c r="R207" s="29">
        <f>LN(F207+1)/LN(MAX($F$10:$F$511)+1)*100</f>
        <v>24.174128667845775</v>
      </c>
      <c r="S207" s="29">
        <f>IF(H207=0,0,(K207*0.5+L207*0.5)*100)</f>
        <v>0</v>
      </c>
      <c r="T207" s="29">
        <f>IF(M207="",0,MIN(100,M207/MAX($M$10:$M$511)*100))</f>
        <v>0.14696058784235139</v>
      </c>
      <c r="U207" s="29">
        <f>MIN(100,IF(O207="Yes",50,0)+IF(N207="Yes",30,0)+IF(P207="Yes",20,0))</f>
        <v>50</v>
      </c>
      <c r="V207" s="30">
        <f>ROUND(U207*$C$3+S207*$C$4+T207*$C$5+R207*$C$6,1)</f>
        <v>21.2</v>
      </c>
      <c r="W207" s="9" t="s">
        <v>396</v>
      </c>
    </row>
    <row r="208" spans="1:23" ht="32.25" customHeight="1" x14ac:dyDescent="0.2">
      <c r="A208" s="23">
        <v>257</v>
      </c>
      <c r="B208" s="9" t="s">
        <v>292</v>
      </c>
      <c r="C208" s="9" t="s">
        <v>521</v>
      </c>
      <c r="D208" s="9" t="s">
        <v>195</v>
      </c>
      <c r="E208" s="9" t="s">
        <v>357</v>
      </c>
      <c r="F208" s="24">
        <v>30</v>
      </c>
      <c r="G208" s="24">
        <v>24</v>
      </c>
      <c r="H208" s="24">
        <v>30</v>
      </c>
      <c r="I208" s="25">
        <v>105.5</v>
      </c>
      <c r="J208" s="25">
        <v>101.2</v>
      </c>
      <c r="K208" s="26">
        <v>0.56699999999999995</v>
      </c>
      <c r="L208" s="26">
        <v>0.13300000000000001</v>
      </c>
      <c r="M208" s="24">
        <v>23</v>
      </c>
      <c r="N208" s="28" t="s">
        <v>345</v>
      </c>
      <c r="O208" s="28" t="s">
        <v>345</v>
      </c>
      <c r="P208" s="28" t="s">
        <v>344</v>
      </c>
      <c r="Q208" s="28" t="s">
        <v>345</v>
      </c>
      <c r="R208" s="29">
        <f>LN(F208+1)/LN(MAX($F$10:$F$511)+1)*100</f>
        <v>34.61938036521591</v>
      </c>
      <c r="S208" s="29">
        <f>IF(H208=0,0,(K208*0.5+L208*0.5)*100)</f>
        <v>35</v>
      </c>
      <c r="T208" s="29">
        <f>IF(M208="",0,MIN(100,M208/MAX($M$10:$M$511)*100))</f>
        <v>0.30728122912491651</v>
      </c>
      <c r="U208" s="29">
        <f>MIN(100,IF(O208="Yes",50,0)+IF(N208="Yes",30,0)+IF(P208="Yes",20,0))</f>
        <v>20</v>
      </c>
      <c r="V208" s="30">
        <f>ROUND(U208*$C$3+S208*$C$4+T208*$C$5+R208*$C$6,1)</f>
        <v>21</v>
      </c>
      <c r="W208" s="9"/>
    </row>
    <row r="209" spans="1:23" ht="21.75" customHeight="1" x14ac:dyDescent="0.2">
      <c r="A209" s="23">
        <v>258</v>
      </c>
      <c r="B209" s="9" t="s">
        <v>476</v>
      </c>
      <c r="C209" s="9" t="s">
        <v>742</v>
      </c>
      <c r="D209" s="9" t="s">
        <v>478</v>
      </c>
      <c r="E209" s="9" t="s">
        <v>479</v>
      </c>
      <c r="F209" s="24">
        <v>6487</v>
      </c>
      <c r="G209" s="24">
        <v>3351</v>
      </c>
      <c r="H209" s="24">
        <v>6487</v>
      </c>
      <c r="I209" s="25">
        <v>1</v>
      </c>
      <c r="J209" s="25">
        <v>4.5</v>
      </c>
      <c r="K209" s="26">
        <v>3.0000000000000001E-3</v>
      </c>
      <c r="L209" s="26">
        <v>2E-3</v>
      </c>
      <c r="M209" s="24">
        <v>186</v>
      </c>
      <c r="N209" s="28" t="s">
        <v>345</v>
      </c>
      <c r="O209" s="28" t="s">
        <v>345</v>
      </c>
      <c r="P209" s="28" t="s">
        <v>344</v>
      </c>
      <c r="Q209" s="28" t="s">
        <v>345</v>
      </c>
      <c r="R209" s="29">
        <f>LN(F209+1)/LN(MAX($F$10:$F$511)+1)*100</f>
        <v>88.491554900188248</v>
      </c>
      <c r="S209" s="29">
        <f>IF(H209=0,0,(K209*0.5+L209*0.5)*100)</f>
        <v>0.25</v>
      </c>
      <c r="T209" s="29">
        <f>IF(M209="",0,MIN(100,M209/MAX($M$10:$M$511)*100))</f>
        <v>2.4849699398797593</v>
      </c>
      <c r="U209" s="29">
        <f>MIN(100,IF(O209="Yes",50,0)+IF(N209="Yes",30,0)+IF(P209="Yes",20,0))</f>
        <v>20</v>
      </c>
      <c r="V209" s="30">
        <f>ROUND(U209*$C$3+S209*$C$4+T209*$C$5+R209*$C$6,1)</f>
        <v>21</v>
      </c>
      <c r="W209" s="9"/>
    </row>
    <row r="210" spans="1:23" ht="32.25" customHeight="1" x14ac:dyDescent="0.2">
      <c r="A210" s="23">
        <v>259</v>
      </c>
      <c r="B210" s="9" t="s">
        <v>280</v>
      </c>
      <c r="C210" s="9" t="s">
        <v>492</v>
      </c>
      <c r="D210" s="9" t="s">
        <v>401</v>
      </c>
      <c r="E210" s="9" t="s">
        <v>343</v>
      </c>
      <c r="F210" s="24">
        <v>8</v>
      </c>
      <c r="G210" s="24">
        <v>37</v>
      </c>
      <c r="H210" s="24">
        <v>8</v>
      </c>
      <c r="I210" s="25">
        <v>58.5</v>
      </c>
      <c r="J210" s="25">
        <v>56.4</v>
      </c>
      <c r="K210" s="26">
        <v>0</v>
      </c>
      <c r="L210" s="26">
        <v>0</v>
      </c>
      <c r="M210" s="24">
        <v>17</v>
      </c>
      <c r="N210" s="28" t="s">
        <v>344</v>
      </c>
      <c r="O210" s="28" t="s">
        <v>345</v>
      </c>
      <c r="P210" s="28" t="s">
        <v>344</v>
      </c>
      <c r="Q210" s="28" t="s">
        <v>345</v>
      </c>
      <c r="R210" s="29">
        <f>LN(F210+1)/LN(MAX($F$10:$F$511)+1)*100</f>
        <v>22.151088184385912</v>
      </c>
      <c r="S210" s="29">
        <f>IF(H210=0,0,(K210*0.5+L210*0.5)*100)</f>
        <v>0</v>
      </c>
      <c r="T210" s="29">
        <f>IF(M210="",0,MIN(100,M210/MAX($M$10:$M$511)*100))</f>
        <v>0.22712090848363395</v>
      </c>
      <c r="U210" s="29">
        <f>MIN(100,IF(O210="Yes",50,0)+IF(N210="Yes",30,0)+IF(P210="Yes",20,0))</f>
        <v>50</v>
      </c>
      <c r="V210" s="30">
        <f>ROUND(U210*$C$3+S210*$C$4+T210*$C$5+R210*$C$6,1)</f>
        <v>20.9</v>
      </c>
      <c r="W210" s="9" t="s">
        <v>388</v>
      </c>
    </row>
    <row r="211" spans="1:23" ht="21.75" customHeight="1" x14ac:dyDescent="0.2">
      <c r="A211" s="23">
        <v>260</v>
      </c>
      <c r="B211" s="9" t="s">
        <v>280</v>
      </c>
      <c r="C211" s="9" t="s">
        <v>618</v>
      </c>
      <c r="D211" s="9" t="s">
        <v>743</v>
      </c>
      <c r="E211" s="9" t="s">
        <v>489</v>
      </c>
      <c r="F211" s="24">
        <v>10</v>
      </c>
      <c r="G211" s="24">
        <v>59</v>
      </c>
      <c r="H211" s="24">
        <v>10</v>
      </c>
      <c r="I211" s="25">
        <v>114.8</v>
      </c>
      <c r="J211" s="25">
        <v>174.7</v>
      </c>
      <c r="K211" s="26">
        <v>0.5</v>
      </c>
      <c r="L211" s="26">
        <v>0.3</v>
      </c>
      <c r="M211" s="24">
        <v>37</v>
      </c>
      <c r="N211" s="28" t="s">
        <v>345</v>
      </c>
      <c r="O211" s="28" t="s">
        <v>345</v>
      </c>
      <c r="P211" s="28" t="s">
        <v>344</v>
      </c>
      <c r="Q211" s="28" t="s">
        <v>345</v>
      </c>
      <c r="R211" s="29">
        <f>LN(F211+1)/LN(MAX($F$10:$F$511)+1)*100</f>
        <v>24.174128667845775</v>
      </c>
      <c r="S211" s="29">
        <f>IF(H211=0,0,(K211*0.5+L211*0.5)*100)</f>
        <v>40</v>
      </c>
      <c r="T211" s="29">
        <f>IF(M211="",0,MIN(100,M211/MAX($M$10:$M$511)*100))</f>
        <v>0.49432197728790916</v>
      </c>
      <c r="U211" s="29">
        <f>MIN(100,IF(O211="Yes",50,0)+IF(N211="Yes",30,0)+IF(P211="Yes",20,0))</f>
        <v>20</v>
      </c>
      <c r="V211" s="30">
        <f>ROUND(U211*$C$3+S211*$C$4+T211*$C$5+R211*$C$6,1)</f>
        <v>20.7</v>
      </c>
      <c r="W211" s="9" t="s">
        <v>396</v>
      </c>
    </row>
    <row r="212" spans="1:23" ht="32.25" customHeight="1" x14ac:dyDescent="0.2">
      <c r="A212" s="23">
        <v>261</v>
      </c>
      <c r="B212" s="9" t="s">
        <v>292</v>
      </c>
      <c r="C212" s="9" t="s">
        <v>521</v>
      </c>
      <c r="D212" s="9" t="s">
        <v>744</v>
      </c>
      <c r="E212" s="9" t="s">
        <v>357</v>
      </c>
      <c r="F212" s="24">
        <v>1</v>
      </c>
      <c r="G212" s="24">
        <v>24</v>
      </c>
      <c r="H212" s="24">
        <v>1</v>
      </c>
      <c r="I212" s="25">
        <v>124.2</v>
      </c>
      <c r="J212" s="25">
        <v>124.2</v>
      </c>
      <c r="K212" s="26">
        <v>1</v>
      </c>
      <c r="L212" s="26">
        <v>0</v>
      </c>
      <c r="M212" s="24">
        <v>23</v>
      </c>
      <c r="N212" s="28" t="s">
        <v>345</v>
      </c>
      <c r="O212" s="28" t="s">
        <v>345</v>
      </c>
      <c r="P212" s="28" t="s">
        <v>344</v>
      </c>
      <c r="Q212" s="28" t="s">
        <v>345</v>
      </c>
      <c r="R212" s="29">
        <f>LN(F212+1)/LN(MAX($F$10:$F$511)+1)*100</f>
        <v>6.987890304757113</v>
      </c>
      <c r="S212" s="29">
        <f>IF(H212=0,0,(K212*0.5+L212*0.5)*100)</f>
        <v>50</v>
      </c>
      <c r="T212" s="29">
        <f>IF(M212="",0,MIN(100,M212/MAX($M$10:$M$511)*100))</f>
        <v>0.30728122912491651</v>
      </c>
      <c r="U212" s="29">
        <f>MIN(100,IF(O212="Yes",50,0)+IF(N212="Yes",30,0)+IF(P212="Yes",20,0))</f>
        <v>20</v>
      </c>
      <c r="V212" s="30">
        <f>ROUND(U212*$C$3+S212*$C$4+T212*$C$5+R212*$C$6,1)</f>
        <v>20.6</v>
      </c>
      <c r="W212" s="9" t="s">
        <v>388</v>
      </c>
    </row>
    <row r="213" spans="1:23" ht="32.25" customHeight="1" x14ac:dyDescent="0.2">
      <c r="A213" s="23">
        <v>262</v>
      </c>
      <c r="B213" s="9" t="s">
        <v>280</v>
      </c>
      <c r="C213" s="9" t="s">
        <v>492</v>
      </c>
      <c r="D213" s="9" t="s">
        <v>619</v>
      </c>
      <c r="E213" s="9" t="s">
        <v>489</v>
      </c>
      <c r="F213" s="24">
        <v>1</v>
      </c>
      <c r="G213" s="24">
        <v>37</v>
      </c>
      <c r="H213" s="24">
        <v>1</v>
      </c>
      <c r="I213" s="25">
        <v>123.3</v>
      </c>
      <c r="J213" s="25">
        <v>123.3</v>
      </c>
      <c r="K213" s="26">
        <v>1</v>
      </c>
      <c r="L213" s="26">
        <v>0</v>
      </c>
      <c r="M213" s="24">
        <v>17</v>
      </c>
      <c r="N213" s="28" t="s">
        <v>345</v>
      </c>
      <c r="O213" s="28" t="s">
        <v>345</v>
      </c>
      <c r="P213" s="28" t="s">
        <v>344</v>
      </c>
      <c r="Q213" s="28" t="s">
        <v>345</v>
      </c>
      <c r="R213" s="29">
        <f>LN(F213+1)/LN(MAX($F$10:$F$511)+1)*100</f>
        <v>6.987890304757113</v>
      </c>
      <c r="S213" s="29">
        <f>IF(H213=0,0,(K213*0.5+L213*0.5)*100)</f>
        <v>50</v>
      </c>
      <c r="T213" s="29">
        <f>IF(M213="",0,MIN(100,M213/MAX($M$10:$M$511)*100))</f>
        <v>0.22712090848363395</v>
      </c>
      <c r="U213" s="29">
        <f>MIN(100,IF(O213="Yes",50,0)+IF(N213="Yes",30,0)+IF(P213="Yes",20,0))</f>
        <v>20</v>
      </c>
      <c r="V213" s="30">
        <f>ROUND(U213*$C$3+S213*$C$4+T213*$C$5+R213*$C$6,1)</f>
        <v>20.6</v>
      </c>
      <c r="W213" s="9" t="s">
        <v>388</v>
      </c>
    </row>
    <row r="214" spans="1:23" ht="21.75" customHeight="1" x14ac:dyDescent="0.2">
      <c r="A214" s="23">
        <v>263</v>
      </c>
      <c r="B214" s="9" t="s">
        <v>280</v>
      </c>
      <c r="C214" s="9" t="s">
        <v>685</v>
      </c>
      <c r="D214" s="9" t="s">
        <v>532</v>
      </c>
      <c r="E214" s="9" t="s">
        <v>424</v>
      </c>
      <c r="F214" s="24">
        <v>1</v>
      </c>
      <c r="G214" s="27"/>
      <c r="H214" s="24">
        <v>1</v>
      </c>
      <c r="I214" s="25">
        <v>126.5</v>
      </c>
      <c r="J214" s="25">
        <v>126.5</v>
      </c>
      <c r="K214" s="26">
        <v>1</v>
      </c>
      <c r="L214" s="26">
        <v>0</v>
      </c>
      <c r="M214" s="24">
        <v>1</v>
      </c>
      <c r="N214" s="28" t="s">
        <v>345</v>
      </c>
      <c r="O214" s="28" t="s">
        <v>345</v>
      </c>
      <c r="P214" s="28" t="s">
        <v>344</v>
      </c>
      <c r="Q214" s="28" t="s">
        <v>345</v>
      </c>
      <c r="R214" s="29">
        <f>LN(F214+1)/LN(MAX($F$10:$F$511)+1)*100</f>
        <v>6.987890304757113</v>
      </c>
      <c r="S214" s="29">
        <f>IF(H214=0,0,(K214*0.5+L214*0.5)*100)</f>
        <v>50</v>
      </c>
      <c r="T214" s="29">
        <f>IF(M214="",0,MIN(100,M214/MAX($M$10:$M$511)*100))</f>
        <v>1.3360053440213761E-2</v>
      </c>
      <c r="U214" s="29">
        <f>MIN(100,IF(O214="Yes",50,0)+IF(N214="Yes",30,0)+IF(P214="Yes",20,0))</f>
        <v>20</v>
      </c>
      <c r="V214" s="30">
        <f>ROUND(U214*$C$3+S214*$C$4+T214*$C$5+R214*$C$6,1)</f>
        <v>20.6</v>
      </c>
      <c r="W214" s="9" t="s">
        <v>686</v>
      </c>
    </row>
    <row r="215" spans="1:23" ht="32.25" customHeight="1" x14ac:dyDescent="0.2">
      <c r="A215" s="23">
        <v>264</v>
      </c>
      <c r="B215" s="9" t="s">
        <v>416</v>
      </c>
      <c r="C215" s="9" t="s">
        <v>745</v>
      </c>
      <c r="D215" s="9" t="s">
        <v>746</v>
      </c>
      <c r="E215" s="9" t="s">
        <v>747</v>
      </c>
      <c r="F215" s="24">
        <v>1</v>
      </c>
      <c r="G215" s="24">
        <v>10</v>
      </c>
      <c r="H215" s="24">
        <v>1</v>
      </c>
      <c r="I215" s="25">
        <v>160.9</v>
      </c>
      <c r="J215" s="25">
        <v>160.9</v>
      </c>
      <c r="K215" s="26">
        <v>1</v>
      </c>
      <c r="L215" s="26">
        <v>0</v>
      </c>
      <c r="M215" s="24">
        <v>1</v>
      </c>
      <c r="N215" s="28" t="s">
        <v>345</v>
      </c>
      <c r="O215" s="28" t="s">
        <v>345</v>
      </c>
      <c r="P215" s="28" t="s">
        <v>344</v>
      </c>
      <c r="Q215" s="28" t="s">
        <v>345</v>
      </c>
      <c r="R215" s="29">
        <f>LN(F215+1)/LN(MAX($F$10:$F$511)+1)*100</f>
        <v>6.987890304757113</v>
      </c>
      <c r="S215" s="29">
        <f>IF(H215=0,0,(K215*0.5+L215*0.5)*100)</f>
        <v>50</v>
      </c>
      <c r="T215" s="29">
        <f>IF(M215="",0,MIN(100,M215/MAX($M$10:$M$511)*100))</f>
        <v>1.3360053440213761E-2</v>
      </c>
      <c r="U215" s="29">
        <f>MIN(100,IF(O215="Yes",50,0)+IF(N215="Yes",30,0)+IF(P215="Yes",20,0))</f>
        <v>20</v>
      </c>
      <c r="V215" s="30">
        <f>ROUND(U215*$C$3+S215*$C$4+T215*$C$5+R215*$C$6,1)</f>
        <v>20.6</v>
      </c>
      <c r="W215" s="9" t="s">
        <v>451</v>
      </c>
    </row>
    <row r="216" spans="1:23" ht="32.25" customHeight="1" x14ac:dyDescent="0.2">
      <c r="A216" s="23">
        <v>265</v>
      </c>
      <c r="B216" s="9" t="s">
        <v>372</v>
      </c>
      <c r="C216" s="9" t="s">
        <v>591</v>
      </c>
      <c r="D216" s="9" t="s">
        <v>551</v>
      </c>
      <c r="E216" s="9" t="s">
        <v>470</v>
      </c>
      <c r="F216" s="24">
        <v>5</v>
      </c>
      <c r="G216" s="24">
        <v>2901</v>
      </c>
      <c r="H216" s="24">
        <v>5</v>
      </c>
      <c r="I216" s="25">
        <v>0.1</v>
      </c>
      <c r="J216" s="25">
        <v>1.8</v>
      </c>
      <c r="K216" s="26">
        <v>0</v>
      </c>
      <c r="L216" s="26">
        <v>0</v>
      </c>
      <c r="M216" s="24">
        <v>98</v>
      </c>
      <c r="N216" s="28" t="s">
        <v>344</v>
      </c>
      <c r="O216" s="28" t="s">
        <v>345</v>
      </c>
      <c r="P216" s="28" t="s">
        <v>344</v>
      </c>
      <c r="Q216" s="28" t="s">
        <v>345</v>
      </c>
      <c r="R216" s="29">
        <f>LN(F216+1)/LN(MAX($F$10:$F$511)+1)*100</f>
        <v>18.063434396950068</v>
      </c>
      <c r="S216" s="29">
        <f>IF(H216=0,0,(K216*0.5+L216*0.5)*100)</f>
        <v>0</v>
      </c>
      <c r="T216" s="29">
        <f>IF(M216="",0,MIN(100,M216/MAX($M$10:$M$511)*100))</f>
        <v>1.3092852371409485</v>
      </c>
      <c r="U216" s="29">
        <f>MIN(100,IF(O216="Yes",50,0)+IF(N216="Yes",30,0)+IF(P216="Yes",20,0))</f>
        <v>50</v>
      </c>
      <c r="V216" s="30">
        <f>ROUND(U216*$C$3+S216*$C$4+T216*$C$5+R216*$C$6,1)</f>
        <v>20.5</v>
      </c>
      <c r="W216" s="9" t="s">
        <v>388</v>
      </c>
    </row>
    <row r="217" spans="1:23" ht="21.75" customHeight="1" x14ac:dyDescent="0.2">
      <c r="A217" s="23">
        <v>266</v>
      </c>
      <c r="B217" s="9" t="s">
        <v>280</v>
      </c>
      <c r="C217" s="9" t="s">
        <v>492</v>
      </c>
      <c r="D217" s="9" t="s">
        <v>578</v>
      </c>
      <c r="E217" s="9" t="s">
        <v>488</v>
      </c>
      <c r="F217" s="24">
        <v>5</v>
      </c>
      <c r="G217" s="24">
        <v>37</v>
      </c>
      <c r="H217" s="24">
        <v>5</v>
      </c>
      <c r="I217" s="25">
        <v>44.4</v>
      </c>
      <c r="J217" s="25">
        <v>44.8</v>
      </c>
      <c r="K217" s="26">
        <v>0</v>
      </c>
      <c r="L217" s="26">
        <v>0</v>
      </c>
      <c r="M217" s="24">
        <v>17</v>
      </c>
      <c r="N217" s="28" t="s">
        <v>344</v>
      </c>
      <c r="O217" s="28" t="s">
        <v>345</v>
      </c>
      <c r="P217" s="28" t="s">
        <v>344</v>
      </c>
      <c r="Q217" s="28" t="s">
        <v>345</v>
      </c>
      <c r="R217" s="29">
        <f>LN(F217+1)/LN(MAX($F$10:$F$511)+1)*100</f>
        <v>18.063434396950068</v>
      </c>
      <c r="S217" s="29">
        <f>IF(H217=0,0,(K217*0.5+L217*0.5)*100)</f>
        <v>0</v>
      </c>
      <c r="T217" s="29">
        <f>IF(M217="",0,MIN(100,M217/MAX($M$10:$M$511)*100))</f>
        <v>0.22712090848363395</v>
      </c>
      <c r="U217" s="29">
        <f>MIN(100,IF(O217="Yes",50,0)+IF(N217="Yes",30,0)+IF(P217="Yes",20,0))</f>
        <v>50</v>
      </c>
      <c r="V217" s="30">
        <f>ROUND(U217*$C$3+S217*$C$4+T217*$C$5+R217*$C$6,1)</f>
        <v>20.3</v>
      </c>
      <c r="W217" s="9" t="s">
        <v>388</v>
      </c>
    </row>
    <row r="218" spans="1:23" ht="32.25" customHeight="1" x14ac:dyDescent="0.2">
      <c r="A218" s="23">
        <v>267</v>
      </c>
      <c r="B218" s="9" t="s">
        <v>280</v>
      </c>
      <c r="C218" s="9" t="s">
        <v>574</v>
      </c>
      <c r="D218" s="9" t="s">
        <v>748</v>
      </c>
      <c r="E218" s="9" t="s">
        <v>604</v>
      </c>
      <c r="F218" s="24">
        <v>5</v>
      </c>
      <c r="G218" s="24">
        <v>13</v>
      </c>
      <c r="H218" s="24">
        <v>5</v>
      </c>
      <c r="I218" s="25">
        <v>22.2</v>
      </c>
      <c r="J218" s="25">
        <v>18.7</v>
      </c>
      <c r="K218" s="26">
        <v>0</v>
      </c>
      <c r="L218" s="26">
        <v>0</v>
      </c>
      <c r="M218" s="24">
        <v>6</v>
      </c>
      <c r="N218" s="28" t="s">
        <v>344</v>
      </c>
      <c r="O218" s="28" t="s">
        <v>345</v>
      </c>
      <c r="P218" s="28" t="s">
        <v>344</v>
      </c>
      <c r="Q218" s="28" t="s">
        <v>345</v>
      </c>
      <c r="R218" s="29">
        <f>LN(F218+1)/LN(MAX($F$10:$F$511)+1)*100</f>
        <v>18.063434396950068</v>
      </c>
      <c r="S218" s="29">
        <f>IF(H218=0,0,(K218*0.5+L218*0.5)*100)</f>
        <v>0</v>
      </c>
      <c r="T218" s="29">
        <f>IF(M218="",0,MIN(100,M218/MAX($M$10:$M$511)*100))</f>
        <v>8.0160320641282562E-2</v>
      </c>
      <c r="U218" s="29">
        <f>MIN(100,IF(O218="Yes",50,0)+IF(N218="Yes",30,0)+IF(P218="Yes",20,0))</f>
        <v>50</v>
      </c>
      <c r="V218" s="30">
        <f>ROUND(U218*$C$3+S218*$C$4+T218*$C$5+R218*$C$6,1)</f>
        <v>20.2</v>
      </c>
      <c r="W218" s="9" t="s">
        <v>388</v>
      </c>
    </row>
    <row r="219" spans="1:23" ht="32.25" customHeight="1" x14ac:dyDescent="0.2">
      <c r="A219" s="23">
        <v>268</v>
      </c>
      <c r="B219" s="9" t="s">
        <v>280</v>
      </c>
      <c r="C219" s="9" t="s">
        <v>574</v>
      </c>
      <c r="D219" s="9" t="s">
        <v>694</v>
      </c>
      <c r="E219" s="9" t="s">
        <v>604</v>
      </c>
      <c r="F219" s="24">
        <v>5</v>
      </c>
      <c r="G219" s="24">
        <v>13</v>
      </c>
      <c r="H219" s="24">
        <v>5</v>
      </c>
      <c r="I219" s="25">
        <v>53.8</v>
      </c>
      <c r="J219" s="25">
        <v>55.3</v>
      </c>
      <c r="K219" s="26">
        <v>0</v>
      </c>
      <c r="L219" s="26">
        <v>0</v>
      </c>
      <c r="M219" s="24">
        <v>6</v>
      </c>
      <c r="N219" s="28" t="s">
        <v>344</v>
      </c>
      <c r="O219" s="28" t="s">
        <v>345</v>
      </c>
      <c r="P219" s="28" t="s">
        <v>344</v>
      </c>
      <c r="Q219" s="28" t="s">
        <v>345</v>
      </c>
      <c r="R219" s="29">
        <f>LN(F219+1)/LN(MAX($F$10:$F$511)+1)*100</f>
        <v>18.063434396950068</v>
      </c>
      <c r="S219" s="29">
        <f>IF(H219=0,0,(K219*0.5+L219*0.5)*100)</f>
        <v>0</v>
      </c>
      <c r="T219" s="29">
        <f>IF(M219="",0,MIN(100,M219/MAX($M$10:$M$511)*100))</f>
        <v>8.0160320641282562E-2</v>
      </c>
      <c r="U219" s="29">
        <f>MIN(100,IF(O219="Yes",50,0)+IF(N219="Yes",30,0)+IF(P219="Yes",20,0))</f>
        <v>50</v>
      </c>
      <c r="V219" s="30">
        <f>ROUND(U219*$C$3+S219*$C$4+T219*$C$5+R219*$C$6,1)</f>
        <v>20.2</v>
      </c>
      <c r="W219" s="9" t="s">
        <v>388</v>
      </c>
    </row>
    <row r="220" spans="1:23" ht="21.75" customHeight="1" x14ac:dyDescent="0.2">
      <c r="A220" s="23">
        <v>269</v>
      </c>
      <c r="B220" s="9" t="s">
        <v>384</v>
      </c>
      <c r="C220" s="9" t="s">
        <v>429</v>
      </c>
      <c r="D220" s="9" t="s">
        <v>218</v>
      </c>
      <c r="E220" s="9" t="s">
        <v>431</v>
      </c>
      <c r="F220" s="24">
        <v>3</v>
      </c>
      <c r="G220" s="24">
        <v>57</v>
      </c>
      <c r="H220" s="24">
        <v>3</v>
      </c>
      <c r="I220" s="25">
        <v>0</v>
      </c>
      <c r="J220" s="25">
        <v>0</v>
      </c>
      <c r="K220" s="26">
        <v>0</v>
      </c>
      <c r="L220" s="26">
        <v>0</v>
      </c>
      <c r="M220" s="24">
        <v>142</v>
      </c>
      <c r="N220" s="28" t="s">
        <v>344</v>
      </c>
      <c r="O220" s="28" t="s">
        <v>345</v>
      </c>
      <c r="P220" s="28" t="s">
        <v>344</v>
      </c>
      <c r="Q220" s="28" t="s">
        <v>345</v>
      </c>
      <c r="R220" s="29">
        <f>LN(F220+1)/LN(MAX($F$10:$F$511)+1)*100</f>
        <v>13.975780609514226</v>
      </c>
      <c r="S220" s="29">
        <f>IF(H220=0,0,(K220*0.5+L220*0.5)*100)</f>
        <v>0</v>
      </c>
      <c r="T220" s="29">
        <f>IF(M220="",0,MIN(100,M220/MAX($M$10:$M$511)*100))</f>
        <v>1.8971275885103542</v>
      </c>
      <c r="U220" s="29">
        <f>MIN(100,IF(O220="Yes",50,0)+IF(N220="Yes",30,0)+IF(P220="Yes",20,0))</f>
        <v>50</v>
      </c>
      <c r="V220" s="30">
        <f>ROUND(U220*$C$3+S220*$C$4+T220*$C$5+R220*$C$6,1)</f>
        <v>20.100000000000001</v>
      </c>
      <c r="W220" s="9" t="s">
        <v>388</v>
      </c>
    </row>
    <row r="221" spans="1:23" ht="21.75" customHeight="1" x14ac:dyDescent="0.2">
      <c r="A221" s="23">
        <v>270</v>
      </c>
      <c r="B221" s="9" t="s">
        <v>384</v>
      </c>
      <c r="C221" s="9" t="s">
        <v>452</v>
      </c>
      <c r="D221" s="9" t="s">
        <v>611</v>
      </c>
      <c r="E221" s="9" t="s">
        <v>415</v>
      </c>
      <c r="F221" s="24">
        <v>4</v>
      </c>
      <c r="G221" s="24">
        <v>10</v>
      </c>
      <c r="H221" s="24">
        <v>4</v>
      </c>
      <c r="I221" s="25">
        <v>48.7</v>
      </c>
      <c r="J221" s="25">
        <v>51.9</v>
      </c>
      <c r="K221" s="26">
        <v>0</v>
      </c>
      <c r="L221" s="26">
        <v>0</v>
      </c>
      <c r="M221" s="24">
        <v>24</v>
      </c>
      <c r="N221" s="28" t="s">
        <v>344</v>
      </c>
      <c r="O221" s="28" t="s">
        <v>345</v>
      </c>
      <c r="P221" s="28" t="s">
        <v>344</v>
      </c>
      <c r="Q221" s="28" t="s">
        <v>345</v>
      </c>
      <c r="R221" s="29">
        <f>LN(F221+1)/LN(MAX($F$10:$F$511)+1)*100</f>
        <v>16.225378822606551</v>
      </c>
      <c r="S221" s="29">
        <f>IF(H221=0,0,(K221*0.5+L221*0.5)*100)</f>
        <v>0</v>
      </c>
      <c r="T221" s="29">
        <f>IF(M221="",0,MIN(100,M221/MAX($M$10:$M$511)*100))</f>
        <v>0.32064128256513025</v>
      </c>
      <c r="U221" s="29">
        <f>MIN(100,IF(O221="Yes",50,0)+IF(N221="Yes",30,0)+IF(P221="Yes",20,0))</f>
        <v>50</v>
      </c>
      <c r="V221" s="30">
        <f>ROUND(U221*$C$3+S221*$C$4+T221*$C$5+R221*$C$6,1)</f>
        <v>20</v>
      </c>
      <c r="W221" s="9" t="s">
        <v>388</v>
      </c>
    </row>
    <row r="222" spans="1:23" ht="21.75" customHeight="1" x14ac:dyDescent="0.2">
      <c r="A222" s="23">
        <v>271</v>
      </c>
      <c r="B222" s="9" t="s">
        <v>384</v>
      </c>
      <c r="C222" s="9" t="s">
        <v>638</v>
      </c>
      <c r="D222" s="9" t="s">
        <v>749</v>
      </c>
      <c r="E222" s="9" t="s">
        <v>431</v>
      </c>
      <c r="F222" s="24">
        <v>3</v>
      </c>
      <c r="G222" s="24">
        <v>48</v>
      </c>
      <c r="H222" s="24">
        <v>3</v>
      </c>
      <c r="I222" s="25">
        <v>10.8</v>
      </c>
      <c r="J222" s="25">
        <v>9.9</v>
      </c>
      <c r="K222" s="26">
        <v>0</v>
      </c>
      <c r="L222" s="26">
        <v>0</v>
      </c>
      <c r="M222" s="24">
        <v>113</v>
      </c>
      <c r="N222" s="28" t="s">
        <v>344</v>
      </c>
      <c r="O222" s="28" t="s">
        <v>345</v>
      </c>
      <c r="P222" s="28" t="s">
        <v>344</v>
      </c>
      <c r="Q222" s="28" t="s">
        <v>344</v>
      </c>
      <c r="R222" s="29">
        <f>LN(F222+1)/LN(MAX($F$10:$F$511)+1)*100</f>
        <v>13.975780609514226</v>
      </c>
      <c r="S222" s="29">
        <f>IF(H222=0,0,(K222*0.5+L222*0.5)*100)</f>
        <v>0</v>
      </c>
      <c r="T222" s="29">
        <f>IF(M222="",0,MIN(100,M222/MAX($M$10:$M$511)*100))</f>
        <v>1.5096860387441549</v>
      </c>
      <c r="U222" s="29">
        <f>MIN(100,IF(O222="Yes",50,0)+IF(N222="Yes",30,0)+IF(P222="Yes",20,0))</f>
        <v>50</v>
      </c>
      <c r="V222" s="30">
        <f>ROUND(U222*$C$3+S222*$C$4+T222*$C$5+R222*$C$6,1)</f>
        <v>20</v>
      </c>
      <c r="W222" s="9" t="s">
        <v>388</v>
      </c>
    </row>
    <row r="223" spans="1:23" ht="21.75" customHeight="1" x14ac:dyDescent="0.2">
      <c r="A223" s="23">
        <v>35</v>
      </c>
      <c r="B223" s="9" t="s">
        <v>360</v>
      </c>
      <c r="C223" s="9" t="s">
        <v>361</v>
      </c>
      <c r="D223" s="9" t="s">
        <v>432</v>
      </c>
      <c r="E223" s="9" t="s">
        <v>363</v>
      </c>
      <c r="F223" s="24">
        <v>4</v>
      </c>
      <c r="G223" s="24">
        <v>11</v>
      </c>
      <c r="H223" s="24">
        <v>4</v>
      </c>
      <c r="I223" s="25">
        <v>47.6</v>
      </c>
      <c r="J223" s="25">
        <v>46.1</v>
      </c>
      <c r="K223" s="26">
        <v>0</v>
      </c>
      <c r="L223" s="26">
        <v>0</v>
      </c>
      <c r="M223" s="27"/>
      <c r="N223" s="28" t="s">
        <v>344</v>
      </c>
      <c r="O223" s="28" t="s">
        <v>345</v>
      </c>
      <c r="P223" s="28" t="s">
        <v>344</v>
      </c>
      <c r="Q223" s="28" t="s">
        <v>345</v>
      </c>
      <c r="R223" s="29">
        <f>LN(F223+1)/LN(MAX($F$10:$F$511)+1)*100</f>
        <v>16.225378822606551</v>
      </c>
      <c r="S223" s="29">
        <f>IF(H223=0,0,(K223*0.5+L223*0.5)*100)</f>
        <v>0</v>
      </c>
      <c r="T223" s="29">
        <f>IF(M223="",0,MIN(100,M223/MAX($M$10:$M$511)*100))</f>
        <v>0</v>
      </c>
      <c r="U223" s="29">
        <f>MIN(100,IF(O223="Yes",50,0)+IF(N223="Yes",30,0)+IF(P223="Yes",20,0))</f>
        <v>50</v>
      </c>
      <c r="V223" s="30">
        <f>ROUND(U223*$C$3+S223*$C$4+T223*$C$5+R223*$C$6,1)</f>
        <v>19.899999999999999</v>
      </c>
      <c r="W223" s="9" t="s">
        <v>346</v>
      </c>
    </row>
    <row r="224" spans="1:23" ht="21.75" customHeight="1" x14ac:dyDescent="0.2">
      <c r="A224" s="23">
        <v>36</v>
      </c>
      <c r="B224" s="9" t="s">
        <v>384</v>
      </c>
      <c r="C224" s="9" t="s">
        <v>433</v>
      </c>
      <c r="D224" s="9" t="s">
        <v>434</v>
      </c>
      <c r="E224" s="9" t="s">
        <v>415</v>
      </c>
      <c r="F224" s="24">
        <v>4</v>
      </c>
      <c r="G224" s="24">
        <v>6</v>
      </c>
      <c r="H224" s="24">
        <v>4</v>
      </c>
      <c r="I224" s="25">
        <v>35.5</v>
      </c>
      <c r="J224" s="25">
        <v>37.200000000000003</v>
      </c>
      <c r="K224" s="26">
        <v>0</v>
      </c>
      <c r="L224" s="26">
        <v>0</v>
      </c>
      <c r="M224" s="27"/>
      <c r="N224" s="28" t="s">
        <v>344</v>
      </c>
      <c r="O224" s="28" t="s">
        <v>345</v>
      </c>
      <c r="P224" s="28" t="s">
        <v>344</v>
      </c>
      <c r="Q224" s="28" t="s">
        <v>345</v>
      </c>
      <c r="R224" s="29">
        <f>LN(F224+1)/LN(MAX($F$10:$F$511)+1)*100</f>
        <v>16.225378822606551</v>
      </c>
      <c r="S224" s="29">
        <f>IF(H224=0,0,(K224*0.5+L224*0.5)*100)</f>
        <v>0</v>
      </c>
      <c r="T224" s="29">
        <f>IF(M224="",0,MIN(100,M224/MAX($M$10:$M$511)*100))</f>
        <v>0</v>
      </c>
      <c r="U224" s="29">
        <f>MIN(100,IF(O224="Yes",50,0)+IF(N224="Yes",30,0)+IF(P224="Yes",20,0))</f>
        <v>50</v>
      </c>
      <c r="V224" s="30">
        <f>ROUND(U224*$C$3+S224*$C$4+T224*$C$5+R224*$C$6,1)</f>
        <v>19.899999999999999</v>
      </c>
      <c r="W224" s="9" t="s">
        <v>346</v>
      </c>
    </row>
    <row r="225" spans="1:23" ht="21.75" customHeight="1" x14ac:dyDescent="0.2">
      <c r="A225" s="23">
        <v>272</v>
      </c>
      <c r="B225" s="9" t="s">
        <v>280</v>
      </c>
      <c r="C225" s="9" t="s">
        <v>697</v>
      </c>
      <c r="D225" s="9" t="s">
        <v>750</v>
      </c>
      <c r="E225" s="9" t="s">
        <v>343</v>
      </c>
      <c r="F225" s="24">
        <v>4</v>
      </c>
      <c r="G225" s="24">
        <v>5</v>
      </c>
      <c r="H225" s="24">
        <v>4</v>
      </c>
      <c r="I225" s="25">
        <v>63.3</v>
      </c>
      <c r="J225" s="25">
        <v>57.6</v>
      </c>
      <c r="K225" s="26">
        <v>0</v>
      </c>
      <c r="L225" s="26">
        <v>0</v>
      </c>
      <c r="M225" s="24">
        <v>1</v>
      </c>
      <c r="N225" s="28" t="s">
        <v>344</v>
      </c>
      <c r="O225" s="28" t="s">
        <v>345</v>
      </c>
      <c r="P225" s="28" t="s">
        <v>344</v>
      </c>
      <c r="Q225" s="28" t="s">
        <v>345</v>
      </c>
      <c r="R225" s="29">
        <f>LN(F225+1)/LN(MAX($F$10:$F$511)+1)*100</f>
        <v>16.225378822606551</v>
      </c>
      <c r="S225" s="29">
        <f>IF(H225=0,0,(K225*0.5+L225*0.5)*100)</f>
        <v>0</v>
      </c>
      <c r="T225" s="29">
        <f>IF(M225="",0,MIN(100,M225/MAX($M$10:$M$511)*100))</f>
        <v>1.3360053440213761E-2</v>
      </c>
      <c r="U225" s="29">
        <f>MIN(100,IF(O225="Yes",50,0)+IF(N225="Yes",30,0)+IF(P225="Yes",20,0))</f>
        <v>50</v>
      </c>
      <c r="V225" s="30">
        <f>ROUND(U225*$C$3+S225*$C$4+T225*$C$5+R225*$C$6,1)</f>
        <v>19.899999999999999</v>
      </c>
      <c r="W225" s="9" t="s">
        <v>451</v>
      </c>
    </row>
    <row r="226" spans="1:23" ht="21.75" customHeight="1" x14ac:dyDescent="0.2">
      <c r="A226" s="23">
        <v>273</v>
      </c>
      <c r="B226" s="9" t="s">
        <v>366</v>
      </c>
      <c r="C226" s="9" t="s">
        <v>751</v>
      </c>
      <c r="D226" s="9" t="s">
        <v>752</v>
      </c>
      <c r="E226" s="9" t="s">
        <v>369</v>
      </c>
      <c r="F226" s="24">
        <v>105</v>
      </c>
      <c r="G226" s="24">
        <v>355</v>
      </c>
      <c r="H226" s="24">
        <v>105</v>
      </c>
      <c r="I226" s="25">
        <v>139.5</v>
      </c>
      <c r="J226" s="25">
        <v>170.5</v>
      </c>
      <c r="K226" s="26">
        <v>0.74299999999999999</v>
      </c>
      <c r="L226" s="26">
        <v>0.27600000000000002</v>
      </c>
      <c r="M226" s="24">
        <v>1</v>
      </c>
      <c r="N226" s="31"/>
      <c r="O226" s="28" t="s">
        <v>345</v>
      </c>
      <c r="P226" s="28"/>
      <c r="Q226" s="28" t="s">
        <v>345</v>
      </c>
      <c r="R226" s="29">
        <f>LN(F226+1)/LN(MAX($F$10:$F$511)+1)*100</f>
        <v>47.013970115619244</v>
      </c>
      <c r="S226" s="29">
        <f>IF(H226=0,0,(K226*0.5+L226*0.5)*100)</f>
        <v>50.95</v>
      </c>
      <c r="T226" s="29">
        <f>IF(M226="",0,MIN(100,M226/MAX($M$10:$M$511)*100))</f>
        <v>1.3360053440213761E-2</v>
      </c>
      <c r="U226" s="29">
        <f>MIN(100,IF(O226="Yes",50,0)+IF(N226="Yes",30,0)+IF(P226="Yes",20,0))</f>
        <v>0</v>
      </c>
      <c r="V226" s="30">
        <f>ROUND(U226*$C$3+S226*$C$4+T226*$C$5+R226*$C$6,1)</f>
        <v>19.8</v>
      </c>
      <c r="W226" s="9" t="s">
        <v>652</v>
      </c>
    </row>
    <row r="227" spans="1:23" ht="32.25" customHeight="1" x14ac:dyDescent="0.2">
      <c r="A227" s="23">
        <v>274</v>
      </c>
      <c r="B227" s="9" t="s">
        <v>185</v>
      </c>
      <c r="C227" s="9" t="s">
        <v>753</v>
      </c>
      <c r="D227" s="9" t="s">
        <v>569</v>
      </c>
      <c r="E227" s="9" t="s">
        <v>487</v>
      </c>
      <c r="F227" s="24">
        <v>4630</v>
      </c>
      <c r="G227" s="24">
        <v>2267</v>
      </c>
      <c r="H227" s="24">
        <v>4630</v>
      </c>
      <c r="I227" s="25">
        <v>0.1</v>
      </c>
      <c r="J227" s="25">
        <v>1.4</v>
      </c>
      <c r="K227" s="26">
        <v>1E-3</v>
      </c>
      <c r="L227" s="26">
        <v>0</v>
      </c>
      <c r="M227" s="24">
        <v>3</v>
      </c>
      <c r="N227" s="28" t="s">
        <v>345</v>
      </c>
      <c r="O227" s="28" t="s">
        <v>345</v>
      </c>
      <c r="P227" s="28" t="s">
        <v>344</v>
      </c>
      <c r="Q227" s="28" t="s">
        <v>345</v>
      </c>
      <c r="R227" s="29">
        <f>LN(F227+1)/LN(MAX($F$10:$F$511)+1)*100</f>
        <v>85.092295224601116</v>
      </c>
      <c r="S227" s="29">
        <f>IF(H227=0,0,(K227*0.5+L227*0.5)*100)</f>
        <v>0.05</v>
      </c>
      <c r="T227" s="29">
        <f>IF(M227="",0,MIN(100,M227/MAX($M$10:$M$511)*100))</f>
        <v>4.0080160320641281E-2</v>
      </c>
      <c r="U227" s="29">
        <f>MIN(100,IF(O227="Yes",50,0)+IF(N227="Yes",30,0)+IF(P227="Yes",20,0))</f>
        <v>20</v>
      </c>
      <c r="V227" s="30">
        <f>ROUND(U227*$C$3+S227*$C$4+T227*$C$5+R227*$C$6,1)</f>
        <v>19.8</v>
      </c>
      <c r="W227" s="9"/>
    </row>
    <row r="228" spans="1:23" ht="21.75" customHeight="1" x14ac:dyDescent="0.2">
      <c r="A228" s="23">
        <v>275</v>
      </c>
      <c r="B228" s="9" t="s">
        <v>476</v>
      </c>
      <c r="C228" s="9" t="s">
        <v>754</v>
      </c>
      <c r="D228" s="9" t="s">
        <v>193</v>
      </c>
      <c r="E228" s="9" t="s">
        <v>479</v>
      </c>
      <c r="F228" s="24">
        <v>3063</v>
      </c>
      <c r="G228" s="24">
        <v>1569</v>
      </c>
      <c r="H228" s="24">
        <v>3063</v>
      </c>
      <c r="I228" s="25">
        <v>0.8</v>
      </c>
      <c r="J228" s="25">
        <v>10.1</v>
      </c>
      <c r="K228" s="26">
        <v>2.1999999999999999E-2</v>
      </c>
      <c r="L228" s="26">
        <v>1.7000000000000001E-2</v>
      </c>
      <c r="M228" s="24">
        <v>31</v>
      </c>
      <c r="N228" s="28" t="s">
        <v>345</v>
      </c>
      <c r="O228" s="28" t="s">
        <v>345</v>
      </c>
      <c r="P228" s="28" t="s">
        <v>344</v>
      </c>
      <c r="Q228" s="28" t="s">
        <v>345</v>
      </c>
      <c r="R228" s="29">
        <f>LN(F228+1)/LN(MAX($F$10:$F$511)+1)*100</f>
        <v>80.928159263880843</v>
      </c>
      <c r="S228" s="29">
        <f>IF(H228=0,0,(K228*0.5+L228*0.5)*100)</f>
        <v>1.95</v>
      </c>
      <c r="T228" s="29">
        <f>IF(M228="",0,MIN(100,M228/MAX($M$10:$M$511)*100))</f>
        <v>0.41416165664662663</v>
      </c>
      <c r="U228" s="29">
        <f>MIN(100,IF(O228="Yes",50,0)+IF(N228="Yes",30,0)+IF(P228="Yes",20,0))</f>
        <v>20</v>
      </c>
      <c r="V228" s="30">
        <f>ROUND(U228*$C$3+S228*$C$4+T228*$C$5+R228*$C$6,1)</f>
        <v>19.7</v>
      </c>
      <c r="W228" s="9"/>
    </row>
    <row r="229" spans="1:23" ht="21.75" customHeight="1" x14ac:dyDescent="0.2">
      <c r="A229" s="23">
        <v>276</v>
      </c>
      <c r="B229" s="9" t="s">
        <v>402</v>
      </c>
      <c r="C229" s="9" t="s">
        <v>559</v>
      </c>
      <c r="D229" s="9" t="s">
        <v>755</v>
      </c>
      <c r="E229" s="9" t="s">
        <v>437</v>
      </c>
      <c r="F229" s="24">
        <v>3</v>
      </c>
      <c r="G229" s="24">
        <v>196</v>
      </c>
      <c r="H229" s="24">
        <v>3</v>
      </c>
      <c r="I229" s="25">
        <v>0.7</v>
      </c>
      <c r="J229" s="25">
        <v>5.3</v>
      </c>
      <c r="K229" s="26">
        <v>0</v>
      </c>
      <c r="L229" s="26">
        <v>0</v>
      </c>
      <c r="M229" s="24">
        <v>35</v>
      </c>
      <c r="N229" s="28" t="s">
        <v>344</v>
      </c>
      <c r="O229" s="28" t="s">
        <v>345</v>
      </c>
      <c r="P229" s="28" t="s">
        <v>344</v>
      </c>
      <c r="Q229" s="28" t="s">
        <v>344</v>
      </c>
      <c r="R229" s="29">
        <f>LN(F229+1)/LN(MAX($F$10:$F$511)+1)*100</f>
        <v>13.975780609514226</v>
      </c>
      <c r="S229" s="29">
        <f>IF(H229=0,0,(K229*0.5+L229*0.5)*100)</f>
        <v>0</v>
      </c>
      <c r="T229" s="29">
        <f>IF(M229="",0,MIN(100,M229/MAX($M$10:$M$511)*100))</f>
        <v>0.46760187040748163</v>
      </c>
      <c r="U229" s="29">
        <f>MIN(100,IF(O229="Yes",50,0)+IF(N229="Yes",30,0)+IF(P229="Yes",20,0))</f>
        <v>50</v>
      </c>
      <c r="V229" s="30">
        <f>ROUND(U229*$C$3+S229*$C$4+T229*$C$5+R229*$C$6,1)</f>
        <v>19.7</v>
      </c>
      <c r="W229" s="9" t="s">
        <v>388</v>
      </c>
    </row>
    <row r="230" spans="1:23" ht="21.75" customHeight="1" x14ac:dyDescent="0.2">
      <c r="A230" s="23">
        <v>38</v>
      </c>
      <c r="B230" s="9" t="s">
        <v>439</v>
      </c>
      <c r="C230" s="9" t="s">
        <v>440</v>
      </c>
      <c r="D230" s="9"/>
      <c r="E230" s="9" t="s">
        <v>441</v>
      </c>
      <c r="F230" s="24">
        <v>3</v>
      </c>
      <c r="G230" s="24">
        <v>1</v>
      </c>
      <c r="H230" s="24">
        <v>3</v>
      </c>
      <c r="I230" s="25">
        <v>3</v>
      </c>
      <c r="J230" s="25">
        <v>10.9</v>
      </c>
      <c r="K230" s="26">
        <v>0</v>
      </c>
      <c r="L230" s="26">
        <v>0</v>
      </c>
      <c r="M230" s="27"/>
      <c r="N230" s="28" t="s">
        <v>344</v>
      </c>
      <c r="O230" s="28" t="s">
        <v>345</v>
      </c>
      <c r="P230" s="28" t="s">
        <v>344</v>
      </c>
      <c r="Q230" s="28" t="s">
        <v>345</v>
      </c>
      <c r="R230" s="29">
        <f>LN(F230+1)/LN(MAX($F$10:$F$511)+1)*100</f>
        <v>13.975780609514226</v>
      </c>
      <c r="S230" s="29">
        <f>IF(H230=0,0,(K230*0.5+L230*0.5)*100)</f>
        <v>0</v>
      </c>
      <c r="T230" s="29">
        <f>IF(M230="",0,MIN(100,M230/MAX($M$10:$M$511)*100))</f>
        <v>0</v>
      </c>
      <c r="U230" s="29">
        <f>MIN(100,IF(O230="Yes",50,0)+IF(N230="Yes",30,0)+IF(P230="Yes",20,0))</f>
        <v>50</v>
      </c>
      <c r="V230" s="30">
        <f>ROUND(U230*$C$3+S230*$C$4+T230*$C$5+R230*$C$6,1)</f>
        <v>19.600000000000001</v>
      </c>
      <c r="W230" s="9" t="s">
        <v>442</v>
      </c>
    </row>
    <row r="231" spans="1:23" ht="21.75" customHeight="1" x14ac:dyDescent="0.2">
      <c r="A231" s="23">
        <v>39</v>
      </c>
      <c r="B231" s="9" t="s">
        <v>384</v>
      </c>
      <c r="C231" s="9" t="s">
        <v>443</v>
      </c>
      <c r="D231" s="9" t="s">
        <v>362</v>
      </c>
      <c r="E231" s="9" t="s">
        <v>444</v>
      </c>
      <c r="F231" s="24">
        <v>3</v>
      </c>
      <c r="G231" s="27"/>
      <c r="H231" s="24">
        <v>3</v>
      </c>
      <c r="I231" s="25">
        <v>41.2</v>
      </c>
      <c r="J231" s="25">
        <v>39.1</v>
      </c>
      <c r="K231" s="26">
        <v>0</v>
      </c>
      <c r="L231" s="26">
        <v>0</v>
      </c>
      <c r="M231" s="27"/>
      <c r="N231" s="28" t="s">
        <v>344</v>
      </c>
      <c r="O231" s="28" t="s">
        <v>345</v>
      </c>
      <c r="P231" s="28" t="s">
        <v>344</v>
      </c>
      <c r="Q231" s="28" t="s">
        <v>345</v>
      </c>
      <c r="R231" s="29">
        <f>LN(F231+1)/LN(MAX($F$10:$F$511)+1)*100</f>
        <v>13.975780609514226</v>
      </c>
      <c r="S231" s="29">
        <f>IF(H231=0,0,(K231*0.5+L231*0.5)*100)</f>
        <v>0</v>
      </c>
      <c r="T231" s="29">
        <f>IF(M231="",0,MIN(100,M231/MAX($M$10:$M$511)*100))</f>
        <v>0</v>
      </c>
      <c r="U231" s="29">
        <f>MIN(100,IF(O231="Yes",50,0)+IF(N231="Yes",30,0)+IF(P231="Yes",20,0))</f>
        <v>50</v>
      </c>
      <c r="V231" s="30">
        <f>ROUND(U231*$C$3+S231*$C$4+T231*$C$5+R231*$C$6,1)</f>
        <v>19.600000000000001</v>
      </c>
      <c r="W231" s="9" t="s">
        <v>406</v>
      </c>
    </row>
    <row r="232" spans="1:23" ht="21.75" customHeight="1" x14ac:dyDescent="0.2">
      <c r="A232" s="23">
        <v>40</v>
      </c>
      <c r="B232" s="9" t="s">
        <v>384</v>
      </c>
      <c r="C232" s="9" t="s">
        <v>445</v>
      </c>
      <c r="D232" s="9" t="s">
        <v>446</v>
      </c>
      <c r="E232" s="9" t="s">
        <v>415</v>
      </c>
      <c r="F232" s="24">
        <v>3</v>
      </c>
      <c r="G232" s="24">
        <v>4</v>
      </c>
      <c r="H232" s="24">
        <v>3</v>
      </c>
      <c r="I232" s="25">
        <v>1.9</v>
      </c>
      <c r="J232" s="25">
        <v>8.1999999999999993</v>
      </c>
      <c r="K232" s="26">
        <v>0</v>
      </c>
      <c r="L232" s="26">
        <v>0</v>
      </c>
      <c r="M232" s="27"/>
      <c r="N232" s="28" t="s">
        <v>344</v>
      </c>
      <c r="O232" s="28" t="s">
        <v>345</v>
      </c>
      <c r="P232" s="28" t="s">
        <v>344</v>
      </c>
      <c r="Q232" s="28" t="s">
        <v>345</v>
      </c>
      <c r="R232" s="29">
        <f>LN(F232+1)/LN(MAX($F$10:$F$511)+1)*100</f>
        <v>13.975780609514226</v>
      </c>
      <c r="S232" s="29">
        <f>IF(H232=0,0,(K232*0.5+L232*0.5)*100)</f>
        <v>0</v>
      </c>
      <c r="T232" s="29">
        <f>IF(M232="",0,MIN(100,M232/MAX($M$10:$M$511)*100))</f>
        <v>0</v>
      </c>
      <c r="U232" s="29">
        <f>MIN(100,IF(O232="Yes",50,0)+IF(N232="Yes",30,0)+IF(P232="Yes",20,0))</f>
        <v>50</v>
      </c>
      <c r="V232" s="30">
        <f>ROUND(U232*$C$3+S232*$C$4+T232*$C$5+R232*$C$6,1)</f>
        <v>19.600000000000001</v>
      </c>
      <c r="W232" s="9" t="s">
        <v>346</v>
      </c>
    </row>
    <row r="233" spans="1:23" ht="42.75" customHeight="1" x14ac:dyDescent="0.2">
      <c r="A233" s="23">
        <v>277</v>
      </c>
      <c r="B233" s="9" t="s">
        <v>384</v>
      </c>
      <c r="C233" s="9" t="s">
        <v>429</v>
      </c>
      <c r="D233" s="9" t="s">
        <v>665</v>
      </c>
      <c r="E233" s="9" t="s">
        <v>415</v>
      </c>
      <c r="F233" s="24">
        <v>2</v>
      </c>
      <c r="G233" s="24">
        <v>57</v>
      </c>
      <c r="H233" s="24">
        <v>2</v>
      </c>
      <c r="I233" s="25">
        <v>76</v>
      </c>
      <c r="J233" s="25">
        <v>76</v>
      </c>
      <c r="K233" s="26">
        <v>0</v>
      </c>
      <c r="L233" s="26">
        <v>0</v>
      </c>
      <c r="M233" s="24">
        <v>142</v>
      </c>
      <c r="N233" s="28" t="s">
        <v>344</v>
      </c>
      <c r="O233" s="28" t="s">
        <v>345</v>
      </c>
      <c r="P233" s="28" t="s">
        <v>344</v>
      </c>
      <c r="Q233" s="28" t="s">
        <v>345</v>
      </c>
      <c r="R233" s="29">
        <f>LN(F233+1)/LN(MAX($F$10:$F$511)+1)*100</f>
        <v>11.075544092192956</v>
      </c>
      <c r="S233" s="29">
        <f>IF(H233=0,0,(K233*0.5+L233*0.5)*100)</f>
        <v>0</v>
      </c>
      <c r="T233" s="29">
        <f>IF(M233="",0,MIN(100,M233/MAX($M$10:$M$511)*100))</f>
        <v>1.8971275885103542</v>
      </c>
      <c r="U233" s="29">
        <f>MIN(100,IF(O233="Yes",50,0)+IF(N233="Yes",30,0)+IF(P233="Yes",20,0))</f>
        <v>50</v>
      </c>
      <c r="V233" s="30">
        <f>ROUND(U233*$C$3+S233*$C$4+T233*$C$5+R233*$C$6,1)</f>
        <v>19.600000000000001</v>
      </c>
      <c r="W233" s="9" t="s">
        <v>388</v>
      </c>
    </row>
    <row r="234" spans="1:23" ht="21.75" customHeight="1" x14ac:dyDescent="0.2">
      <c r="A234" s="23">
        <v>278</v>
      </c>
      <c r="B234" s="9" t="s">
        <v>280</v>
      </c>
      <c r="C234" s="9" t="s">
        <v>574</v>
      </c>
      <c r="D234" s="9" t="s">
        <v>756</v>
      </c>
      <c r="E234" s="9" t="s">
        <v>604</v>
      </c>
      <c r="F234" s="24">
        <v>3</v>
      </c>
      <c r="G234" s="24">
        <v>13</v>
      </c>
      <c r="H234" s="24">
        <v>3</v>
      </c>
      <c r="I234" s="25">
        <v>12</v>
      </c>
      <c r="J234" s="25">
        <v>17.399999999999999</v>
      </c>
      <c r="K234" s="26">
        <v>0</v>
      </c>
      <c r="L234" s="26">
        <v>0</v>
      </c>
      <c r="M234" s="24">
        <v>6</v>
      </c>
      <c r="N234" s="28" t="s">
        <v>344</v>
      </c>
      <c r="O234" s="28" t="s">
        <v>345</v>
      </c>
      <c r="P234" s="28" t="s">
        <v>344</v>
      </c>
      <c r="Q234" s="28" t="s">
        <v>345</v>
      </c>
      <c r="R234" s="29">
        <f>LN(F234+1)/LN(MAX($F$10:$F$511)+1)*100</f>
        <v>13.975780609514226</v>
      </c>
      <c r="S234" s="29">
        <f>IF(H234=0,0,(K234*0.5+L234*0.5)*100)</f>
        <v>0</v>
      </c>
      <c r="T234" s="29">
        <f>IF(M234="",0,MIN(100,M234/MAX($M$10:$M$511)*100))</f>
        <v>8.0160320641282562E-2</v>
      </c>
      <c r="U234" s="29">
        <f>MIN(100,IF(O234="Yes",50,0)+IF(N234="Yes",30,0)+IF(P234="Yes",20,0))</f>
        <v>50</v>
      </c>
      <c r="V234" s="30">
        <f>ROUND(U234*$C$3+S234*$C$4+T234*$C$5+R234*$C$6,1)</f>
        <v>19.600000000000001</v>
      </c>
      <c r="W234" s="9" t="s">
        <v>388</v>
      </c>
    </row>
    <row r="235" spans="1:23" ht="21.75" customHeight="1" x14ac:dyDescent="0.2">
      <c r="A235" s="23">
        <v>279</v>
      </c>
      <c r="B235" s="9" t="s">
        <v>280</v>
      </c>
      <c r="C235" s="9" t="s">
        <v>757</v>
      </c>
      <c r="D235" s="9" t="s">
        <v>698</v>
      </c>
      <c r="E235" s="9" t="s">
        <v>343</v>
      </c>
      <c r="F235" s="24">
        <v>3</v>
      </c>
      <c r="G235" s="24">
        <v>5</v>
      </c>
      <c r="H235" s="24">
        <v>3</v>
      </c>
      <c r="I235" s="25">
        <v>49.2</v>
      </c>
      <c r="J235" s="25">
        <v>49.6</v>
      </c>
      <c r="K235" s="26">
        <v>0</v>
      </c>
      <c r="L235" s="26">
        <v>0</v>
      </c>
      <c r="M235" s="24">
        <v>1</v>
      </c>
      <c r="N235" s="28" t="s">
        <v>344</v>
      </c>
      <c r="O235" s="28" t="s">
        <v>345</v>
      </c>
      <c r="P235" s="28" t="s">
        <v>344</v>
      </c>
      <c r="Q235" s="28" t="s">
        <v>345</v>
      </c>
      <c r="R235" s="29">
        <f>LN(F235+1)/LN(MAX($F$10:$F$511)+1)*100</f>
        <v>13.975780609514226</v>
      </c>
      <c r="S235" s="29">
        <f>IF(H235=0,0,(K235*0.5+L235*0.5)*100)</f>
        <v>0</v>
      </c>
      <c r="T235" s="29">
        <f>IF(M235="",0,MIN(100,M235/MAX($M$10:$M$511)*100))</f>
        <v>1.3360053440213761E-2</v>
      </c>
      <c r="U235" s="29">
        <f>MIN(100,IF(O235="Yes",50,0)+IF(N235="Yes",30,0)+IF(P235="Yes",20,0))</f>
        <v>50</v>
      </c>
      <c r="V235" s="30">
        <f>ROUND(U235*$C$3+S235*$C$4+T235*$C$5+R235*$C$6,1)</f>
        <v>19.600000000000001</v>
      </c>
      <c r="W235" s="9" t="s">
        <v>451</v>
      </c>
    </row>
    <row r="236" spans="1:23" ht="21.75" customHeight="1" x14ac:dyDescent="0.2">
      <c r="A236" s="23">
        <v>280</v>
      </c>
      <c r="B236" s="9" t="s">
        <v>280</v>
      </c>
      <c r="C236" s="9" t="s">
        <v>727</v>
      </c>
      <c r="D236" s="9" t="s">
        <v>758</v>
      </c>
      <c r="E236" s="9" t="s">
        <v>604</v>
      </c>
      <c r="F236" s="24">
        <v>3</v>
      </c>
      <c r="G236" s="24">
        <v>5</v>
      </c>
      <c r="H236" s="24">
        <v>3</v>
      </c>
      <c r="I236" s="25">
        <v>24.5</v>
      </c>
      <c r="J236" s="25">
        <v>22.8</v>
      </c>
      <c r="K236" s="26">
        <v>0</v>
      </c>
      <c r="L236" s="26">
        <v>0</v>
      </c>
      <c r="M236" s="24">
        <v>1</v>
      </c>
      <c r="N236" s="28" t="s">
        <v>344</v>
      </c>
      <c r="O236" s="28" t="s">
        <v>345</v>
      </c>
      <c r="P236" s="28" t="s">
        <v>344</v>
      </c>
      <c r="Q236" s="28" t="s">
        <v>345</v>
      </c>
      <c r="R236" s="29">
        <f>LN(F236+1)/LN(MAX($F$10:$F$511)+1)*100</f>
        <v>13.975780609514226</v>
      </c>
      <c r="S236" s="29">
        <f>IF(H236=0,0,(K236*0.5+L236*0.5)*100)</f>
        <v>0</v>
      </c>
      <c r="T236" s="29">
        <f>IF(M236="",0,MIN(100,M236/MAX($M$10:$M$511)*100))</f>
        <v>1.3360053440213761E-2</v>
      </c>
      <c r="U236" s="29">
        <f>MIN(100,IF(O236="Yes",50,0)+IF(N236="Yes",30,0)+IF(P236="Yes",20,0))</f>
        <v>50</v>
      </c>
      <c r="V236" s="30">
        <f>ROUND(U236*$C$3+S236*$C$4+T236*$C$5+R236*$C$6,1)</f>
        <v>19.600000000000001</v>
      </c>
      <c r="W236" s="9" t="s">
        <v>451</v>
      </c>
    </row>
    <row r="237" spans="1:23" ht="21.75" customHeight="1" x14ac:dyDescent="0.2">
      <c r="A237" s="23">
        <v>281</v>
      </c>
      <c r="B237" s="9" t="s">
        <v>347</v>
      </c>
      <c r="C237" s="9" t="s">
        <v>759</v>
      </c>
      <c r="D237" s="9"/>
      <c r="E237" s="9" t="s">
        <v>485</v>
      </c>
      <c r="F237" s="24">
        <v>1</v>
      </c>
      <c r="G237" s="24">
        <v>2</v>
      </c>
      <c r="H237" s="24">
        <v>1</v>
      </c>
      <c r="I237" s="25">
        <v>0</v>
      </c>
      <c r="J237" s="25">
        <v>0</v>
      </c>
      <c r="K237" s="26">
        <v>0</v>
      </c>
      <c r="L237" s="26">
        <v>0</v>
      </c>
      <c r="M237" s="24">
        <v>258</v>
      </c>
      <c r="N237" s="28" t="s">
        <v>344</v>
      </c>
      <c r="O237" s="28" t="s">
        <v>345</v>
      </c>
      <c r="P237" s="28" t="s">
        <v>344</v>
      </c>
      <c r="Q237" s="28" t="s">
        <v>345</v>
      </c>
      <c r="R237" s="29">
        <f>LN(F237+1)/LN(MAX($F$10:$F$511)+1)*100</f>
        <v>6.987890304757113</v>
      </c>
      <c r="S237" s="29">
        <f>IF(H237=0,0,(K237*0.5+L237*0.5)*100)</f>
        <v>0</v>
      </c>
      <c r="T237" s="29">
        <f>IF(M237="",0,MIN(100,M237/MAX($M$10:$M$511)*100))</f>
        <v>3.4468937875751502</v>
      </c>
      <c r="U237" s="29">
        <f>MIN(100,IF(O237="Yes",50,0)+IF(N237="Yes",30,0)+IF(P237="Yes",20,0))</f>
        <v>50</v>
      </c>
      <c r="V237" s="30">
        <f>ROUND(U237*$C$3+S237*$C$4+T237*$C$5+R237*$C$6,1)</f>
        <v>19.399999999999999</v>
      </c>
      <c r="W237" s="9" t="s">
        <v>627</v>
      </c>
    </row>
    <row r="238" spans="1:23" ht="21.75" customHeight="1" x14ac:dyDescent="0.2">
      <c r="A238" s="23">
        <v>282</v>
      </c>
      <c r="B238" s="9" t="s">
        <v>384</v>
      </c>
      <c r="C238" s="9" t="s">
        <v>610</v>
      </c>
      <c r="D238" s="9" t="s">
        <v>760</v>
      </c>
      <c r="E238" s="9" t="s">
        <v>415</v>
      </c>
      <c r="F238" s="24">
        <v>2</v>
      </c>
      <c r="G238" s="24">
        <v>777</v>
      </c>
      <c r="H238" s="24">
        <v>2</v>
      </c>
      <c r="I238" s="25">
        <v>50.4</v>
      </c>
      <c r="J238" s="25">
        <v>50.4</v>
      </c>
      <c r="K238" s="26">
        <v>0</v>
      </c>
      <c r="L238" s="26">
        <v>0</v>
      </c>
      <c r="M238" s="24">
        <v>74</v>
      </c>
      <c r="N238" s="28" t="s">
        <v>344</v>
      </c>
      <c r="O238" s="28" t="s">
        <v>345</v>
      </c>
      <c r="P238" s="28" t="s">
        <v>344</v>
      </c>
      <c r="Q238" s="28" t="s">
        <v>345</v>
      </c>
      <c r="R238" s="29">
        <f>LN(F238+1)/LN(MAX($F$10:$F$511)+1)*100</f>
        <v>11.075544092192956</v>
      </c>
      <c r="S238" s="29">
        <f>IF(H238=0,0,(K238*0.5+L238*0.5)*100)</f>
        <v>0</v>
      </c>
      <c r="T238" s="29">
        <f>IF(M238="",0,MIN(100,M238/MAX($M$10:$M$511)*100))</f>
        <v>0.98864395457581833</v>
      </c>
      <c r="U238" s="29">
        <f>MIN(100,IF(O238="Yes",50,0)+IF(N238="Yes",30,0)+IF(P238="Yes",20,0))</f>
        <v>50</v>
      </c>
      <c r="V238" s="30">
        <f>ROUND(U238*$C$3+S238*$C$4+T238*$C$5+R238*$C$6,1)</f>
        <v>19.399999999999999</v>
      </c>
      <c r="W238" s="9" t="s">
        <v>388</v>
      </c>
    </row>
    <row r="239" spans="1:23" ht="21.75" customHeight="1" x14ac:dyDescent="0.2">
      <c r="A239" s="23">
        <v>283</v>
      </c>
      <c r="B239" s="9" t="s">
        <v>384</v>
      </c>
      <c r="C239" s="9" t="s">
        <v>761</v>
      </c>
      <c r="D239" s="9" t="s">
        <v>762</v>
      </c>
      <c r="E239" s="9" t="s">
        <v>657</v>
      </c>
      <c r="F239" s="24">
        <v>15</v>
      </c>
      <c r="G239" s="24">
        <v>128</v>
      </c>
      <c r="H239" s="24">
        <v>15</v>
      </c>
      <c r="I239" s="25">
        <v>127</v>
      </c>
      <c r="J239" s="25">
        <v>166.1</v>
      </c>
      <c r="K239" s="26">
        <v>0.86699999999999999</v>
      </c>
      <c r="L239" s="26">
        <v>0.26700000000000002</v>
      </c>
      <c r="M239" s="24">
        <v>302</v>
      </c>
      <c r="N239" s="31"/>
      <c r="O239" s="28" t="s">
        <v>345</v>
      </c>
      <c r="P239" s="28"/>
      <c r="Q239" s="28" t="s">
        <v>345</v>
      </c>
      <c r="R239" s="29">
        <f>LN(F239+1)/LN(MAX($F$10:$F$511)+1)*100</f>
        <v>27.951561219028452</v>
      </c>
      <c r="S239" s="29">
        <f>IF(H239=0,0,(K239*0.5+L239*0.5)*100)</f>
        <v>56.699999999999996</v>
      </c>
      <c r="T239" s="29">
        <f>IF(M239="",0,MIN(100,M239/MAX($M$10:$M$511)*100))</f>
        <v>4.034736138944556</v>
      </c>
      <c r="U239" s="29">
        <f>MIN(100,IF(O239="Yes",50,0)+IF(N239="Yes",30,0)+IF(P239="Yes",20,0))</f>
        <v>0</v>
      </c>
      <c r="V239" s="30">
        <f>ROUND(U239*$C$3+S239*$C$4+T239*$C$5+R239*$C$6,1)</f>
        <v>19.399999999999999</v>
      </c>
      <c r="W239" s="9" t="s">
        <v>370</v>
      </c>
    </row>
    <row r="240" spans="1:23" ht="42.75" customHeight="1" x14ac:dyDescent="0.2">
      <c r="A240" s="23">
        <v>284</v>
      </c>
      <c r="B240" s="9" t="s">
        <v>402</v>
      </c>
      <c r="C240" s="9" t="s">
        <v>559</v>
      </c>
      <c r="D240" s="9" t="s">
        <v>404</v>
      </c>
      <c r="E240" s="9" t="s">
        <v>437</v>
      </c>
      <c r="F240" s="24">
        <v>2</v>
      </c>
      <c r="G240" s="24">
        <v>196</v>
      </c>
      <c r="H240" s="24">
        <v>2</v>
      </c>
      <c r="I240" s="25">
        <v>57.1</v>
      </c>
      <c r="J240" s="25">
        <v>57.1</v>
      </c>
      <c r="K240" s="26">
        <v>0</v>
      </c>
      <c r="L240" s="26">
        <v>0</v>
      </c>
      <c r="M240" s="24">
        <v>35</v>
      </c>
      <c r="N240" s="28" t="s">
        <v>344</v>
      </c>
      <c r="O240" s="28" t="s">
        <v>345</v>
      </c>
      <c r="P240" s="28" t="s">
        <v>344</v>
      </c>
      <c r="Q240" s="28" t="s">
        <v>344</v>
      </c>
      <c r="R240" s="29">
        <f>LN(F240+1)/LN(MAX($F$10:$F$511)+1)*100</f>
        <v>11.075544092192956</v>
      </c>
      <c r="S240" s="29">
        <f>IF(H240=0,0,(K240*0.5+L240*0.5)*100)</f>
        <v>0</v>
      </c>
      <c r="T240" s="29">
        <f>IF(M240="",0,MIN(100,M240/MAX($M$10:$M$511)*100))</f>
        <v>0.46760187040748163</v>
      </c>
      <c r="U240" s="29">
        <f>MIN(100,IF(O240="Yes",50,0)+IF(N240="Yes",30,0)+IF(P240="Yes",20,0))</f>
        <v>50</v>
      </c>
      <c r="V240" s="30">
        <f>ROUND(U240*$C$3+S240*$C$4+T240*$C$5+R240*$C$6,1)</f>
        <v>19.3</v>
      </c>
      <c r="W240" s="9" t="s">
        <v>388</v>
      </c>
    </row>
    <row r="241" spans="1:23" ht="21.75" customHeight="1" x14ac:dyDescent="0.2">
      <c r="A241" s="23">
        <v>41</v>
      </c>
      <c r="B241" s="9" t="s">
        <v>392</v>
      </c>
      <c r="C241" s="9" t="s">
        <v>447</v>
      </c>
      <c r="D241" s="9"/>
      <c r="E241" s="9" t="s">
        <v>426</v>
      </c>
      <c r="F241" s="24">
        <v>2</v>
      </c>
      <c r="G241" s="24">
        <v>2</v>
      </c>
      <c r="H241" s="24">
        <v>2</v>
      </c>
      <c r="I241" s="25">
        <v>3.6</v>
      </c>
      <c r="J241" s="25">
        <v>3.6</v>
      </c>
      <c r="K241" s="26">
        <v>0</v>
      </c>
      <c r="L241" s="26">
        <v>0</v>
      </c>
      <c r="M241" s="27"/>
      <c r="N241" s="28" t="s">
        <v>344</v>
      </c>
      <c r="O241" s="28" t="s">
        <v>345</v>
      </c>
      <c r="P241" s="28" t="s">
        <v>344</v>
      </c>
      <c r="Q241" s="28" t="s">
        <v>345</v>
      </c>
      <c r="R241" s="29">
        <f>LN(F241+1)/LN(MAX($F$10:$F$511)+1)*100</f>
        <v>11.075544092192956</v>
      </c>
      <c r="S241" s="29">
        <f>IF(H241=0,0,(K241*0.5+L241*0.5)*100)</f>
        <v>0</v>
      </c>
      <c r="T241" s="29">
        <f>IF(M241="",0,MIN(100,M241/MAX($M$10:$M$511)*100))</f>
        <v>0</v>
      </c>
      <c r="U241" s="29">
        <f>MIN(100,IF(O241="Yes",50,0)+IF(N241="Yes",30,0)+IF(P241="Yes",20,0))</f>
        <v>50</v>
      </c>
      <c r="V241" s="30">
        <f>ROUND(U241*$C$3+S241*$C$4+T241*$C$5+R241*$C$6,1)</f>
        <v>19.2</v>
      </c>
      <c r="W241" s="9" t="s">
        <v>442</v>
      </c>
    </row>
    <row r="242" spans="1:23" ht="21.75" customHeight="1" x14ac:dyDescent="0.2">
      <c r="A242" s="23">
        <v>285</v>
      </c>
      <c r="B242" s="9" t="s">
        <v>280</v>
      </c>
      <c r="C242" s="9" t="s">
        <v>600</v>
      </c>
      <c r="D242" s="9" t="s">
        <v>707</v>
      </c>
      <c r="E242" s="9" t="s">
        <v>424</v>
      </c>
      <c r="F242" s="24">
        <v>25</v>
      </c>
      <c r="G242" s="24">
        <v>76</v>
      </c>
      <c r="H242" s="24">
        <v>25</v>
      </c>
      <c r="I242" s="25">
        <v>59</v>
      </c>
      <c r="J242" s="25">
        <v>93.5</v>
      </c>
      <c r="K242" s="26">
        <v>0.44</v>
      </c>
      <c r="L242" s="26">
        <v>0.12</v>
      </c>
      <c r="M242" s="24">
        <v>72</v>
      </c>
      <c r="N242" s="28" t="s">
        <v>345</v>
      </c>
      <c r="O242" s="28" t="s">
        <v>345</v>
      </c>
      <c r="P242" s="28" t="s">
        <v>344</v>
      </c>
      <c r="Q242" s="28" t="s">
        <v>345</v>
      </c>
      <c r="R242" s="29">
        <f>LN(F242+1)/LN(MAX($F$10:$F$511)+1)*100</f>
        <v>32.846157134493396</v>
      </c>
      <c r="S242" s="29">
        <f>IF(H242=0,0,(K242*0.5+L242*0.5)*100)</f>
        <v>28.000000000000004</v>
      </c>
      <c r="T242" s="29">
        <f>IF(M242="",0,MIN(100,M242/MAX($M$10:$M$511)*100))</f>
        <v>0.96192384769539074</v>
      </c>
      <c r="U242" s="29">
        <f>MIN(100,IF(O242="Yes",50,0)+IF(N242="Yes",30,0)+IF(P242="Yes",20,0))</f>
        <v>20</v>
      </c>
      <c r="V242" s="30">
        <f>ROUND(U242*$C$3+S242*$C$4+T242*$C$5+R242*$C$6,1)</f>
        <v>19.2</v>
      </c>
      <c r="W242" s="9" t="s">
        <v>396</v>
      </c>
    </row>
    <row r="243" spans="1:23" ht="32.25" customHeight="1" x14ac:dyDescent="0.2">
      <c r="A243" s="23">
        <v>286</v>
      </c>
      <c r="B243" s="9" t="s">
        <v>280</v>
      </c>
      <c r="C243" s="9" t="s">
        <v>697</v>
      </c>
      <c r="D243" s="9" t="s">
        <v>763</v>
      </c>
      <c r="E243" s="9" t="s">
        <v>343</v>
      </c>
      <c r="F243" s="24">
        <v>2</v>
      </c>
      <c r="G243" s="24">
        <v>5</v>
      </c>
      <c r="H243" s="24">
        <v>2</v>
      </c>
      <c r="I243" s="25">
        <v>29.3</v>
      </c>
      <c r="J243" s="25">
        <v>29.3</v>
      </c>
      <c r="K243" s="26">
        <v>0</v>
      </c>
      <c r="L243" s="26">
        <v>0</v>
      </c>
      <c r="M243" s="24">
        <v>1</v>
      </c>
      <c r="N243" s="28" t="s">
        <v>344</v>
      </c>
      <c r="O243" s="28" t="s">
        <v>345</v>
      </c>
      <c r="P243" s="28" t="s">
        <v>344</v>
      </c>
      <c r="Q243" s="28" t="s">
        <v>345</v>
      </c>
      <c r="R243" s="29">
        <f>LN(F243+1)/LN(MAX($F$10:$F$511)+1)*100</f>
        <v>11.075544092192956</v>
      </c>
      <c r="S243" s="29">
        <f>IF(H243=0,0,(K243*0.5+L243*0.5)*100)</f>
        <v>0</v>
      </c>
      <c r="T243" s="29">
        <f>IF(M243="",0,MIN(100,M243/MAX($M$10:$M$511)*100))</f>
        <v>1.3360053440213761E-2</v>
      </c>
      <c r="U243" s="29">
        <f>MIN(100,IF(O243="Yes",50,0)+IF(N243="Yes",30,0)+IF(P243="Yes",20,0))</f>
        <v>50</v>
      </c>
      <c r="V243" s="30">
        <f>ROUND(U243*$C$3+S243*$C$4+T243*$C$5+R243*$C$6,1)</f>
        <v>19.2</v>
      </c>
      <c r="W243" s="9" t="s">
        <v>451</v>
      </c>
    </row>
    <row r="244" spans="1:23" ht="32.25" customHeight="1" x14ac:dyDescent="0.2">
      <c r="A244" s="23">
        <v>287</v>
      </c>
      <c r="B244" s="9" t="s">
        <v>280</v>
      </c>
      <c r="C244" s="9" t="s">
        <v>685</v>
      </c>
      <c r="D244" s="9" t="s">
        <v>666</v>
      </c>
      <c r="E244" s="9" t="s">
        <v>343</v>
      </c>
      <c r="F244" s="24">
        <v>2</v>
      </c>
      <c r="G244" s="27"/>
      <c r="H244" s="24">
        <v>2</v>
      </c>
      <c r="I244" s="25">
        <v>50.8</v>
      </c>
      <c r="J244" s="25">
        <v>50.8</v>
      </c>
      <c r="K244" s="26">
        <v>0</v>
      </c>
      <c r="L244" s="26">
        <v>0</v>
      </c>
      <c r="M244" s="24">
        <v>1</v>
      </c>
      <c r="N244" s="28" t="s">
        <v>344</v>
      </c>
      <c r="O244" s="28" t="s">
        <v>345</v>
      </c>
      <c r="P244" s="28" t="s">
        <v>344</v>
      </c>
      <c r="Q244" s="28" t="s">
        <v>345</v>
      </c>
      <c r="R244" s="29">
        <f>LN(F244+1)/LN(MAX($F$10:$F$511)+1)*100</f>
        <v>11.075544092192956</v>
      </c>
      <c r="S244" s="29">
        <f>IF(H244=0,0,(K244*0.5+L244*0.5)*100)</f>
        <v>0</v>
      </c>
      <c r="T244" s="29">
        <f>IF(M244="",0,MIN(100,M244/MAX($M$10:$M$511)*100))</f>
        <v>1.3360053440213761E-2</v>
      </c>
      <c r="U244" s="29">
        <f>MIN(100,IF(O244="Yes",50,0)+IF(N244="Yes",30,0)+IF(P244="Yes",20,0))</f>
        <v>50</v>
      </c>
      <c r="V244" s="30">
        <f>ROUND(U244*$C$3+S244*$C$4+T244*$C$5+R244*$C$6,1)</f>
        <v>19.2</v>
      </c>
      <c r="W244" s="9" t="s">
        <v>686</v>
      </c>
    </row>
    <row r="245" spans="1:23" ht="21.75" customHeight="1" x14ac:dyDescent="0.2">
      <c r="A245" s="23">
        <v>288</v>
      </c>
      <c r="B245" s="9" t="s">
        <v>280</v>
      </c>
      <c r="C245" s="9" t="s">
        <v>685</v>
      </c>
      <c r="D245" s="9" t="s">
        <v>578</v>
      </c>
      <c r="E245" s="9" t="s">
        <v>604</v>
      </c>
      <c r="F245" s="24">
        <v>2</v>
      </c>
      <c r="G245" s="27"/>
      <c r="H245" s="24">
        <v>2</v>
      </c>
      <c r="I245" s="25">
        <v>41.3</v>
      </c>
      <c r="J245" s="25">
        <v>41.3</v>
      </c>
      <c r="K245" s="26">
        <v>0</v>
      </c>
      <c r="L245" s="26">
        <v>0</v>
      </c>
      <c r="M245" s="24">
        <v>1</v>
      </c>
      <c r="N245" s="28" t="s">
        <v>344</v>
      </c>
      <c r="O245" s="28" t="s">
        <v>345</v>
      </c>
      <c r="P245" s="28" t="s">
        <v>344</v>
      </c>
      <c r="Q245" s="28" t="s">
        <v>345</v>
      </c>
      <c r="R245" s="29">
        <f>LN(F245+1)/LN(MAX($F$10:$F$511)+1)*100</f>
        <v>11.075544092192956</v>
      </c>
      <c r="S245" s="29">
        <f>IF(H245=0,0,(K245*0.5+L245*0.5)*100)</f>
        <v>0</v>
      </c>
      <c r="T245" s="29">
        <f>IF(M245="",0,MIN(100,M245/MAX($M$10:$M$511)*100))</f>
        <v>1.3360053440213761E-2</v>
      </c>
      <c r="U245" s="29">
        <f>MIN(100,IF(O245="Yes",50,0)+IF(N245="Yes",30,0)+IF(P245="Yes",20,0))</f>
        <v>50</v>
      </c>
      <c r="V245" s="30">
        <f>ROUND(U245*$C$3+S245*$C$4+T245*$C$5+R245*$C$6,1)</f>
        <v>19.2</v>
      </c>
      <c r="W245" s="9" t="s">
        <v>686</v>
      </c>
    </row>
    <row r="246" spans="1:23" ht="21.75" customHeight="1" x14ac:dyDescent="0.2">
      <c r="A246" s="23">
        <v>289</v>
      </c>
      <c r="B246" s="9" t="s">
        <v>384</v>
      </c>
      <c r="C246" s="9" t="s">
        <v>702</v>
      </c>
      <c r="D246" s="9" t="s">
        <v>446</v>
      </c>
      <c r="E246" s="9" t="s">
        <v>415</v>
      </c>
      <c r="F246" s="24">
        <v>2</v>
      </c>
      <c r="G246" s="24">
        <v>102</v>
      </c>
      <c r="H246" s="24">
        <v>2</v>
      </c>
      <c r="I246" s="25">
        <v>18.2</v>
      </c>
      <c r="J246" s="25">
        <v>18.2</v>
      </c>
      <c r="K246" s="26">
        <v>0</v>
      </c>
      <c r="L246" s="26">
        <v>0</v>
      </c>
      <c r="M246" s="24">
        <v>1</v>
      </c>
      <c r="N246" s="28" t="s">
        <v>344</v>
      </c>
      <c r="O246" s="28" t="s">
        <v>345</v>
      </c>
      <c r="P246" s="28" t="s">
        <v>344</v>
      </c>
      <c r="Q246" s="28" t="s">
        <v>345</v>
      </c>
      <c r="R246" s="29">
        <f>LN(F246+1)/LN(MAX($F$10:$F$511)+1)*100</f>
        <v>11.075544092192956</v>
      </c>
      <c r="S246" s="29">
        <f>IF(H246=0,0,(K246*0.5+L246*0.5)*100)</f>
        <v>0</v>
      </c>
      <c r="T246" s="29">
        <f>IF(M246="",0,MIN(100,M246/MAX($M$10:$M$511)*100))</f>
        <v>1.3360053440213761E-2</v>
      </c>
      <c r="U246" s="29">
        <f>MIN(100,IF(O246="Yes",50,0)+IF(N246="Yes",30,0)+IF(P246="Yes",20,0))</f>
        <v>50</v>
      </c>
      <c r="V246" s="30">
        <f>ROUND(U246*$C$3+S246*$C$4+T246*$C$5+R246*$C$6,1)</f>
        <v>19.2</v>
      </c>
      <c r="W246" s="9" t="s">
        <v>451</v>
      </c>
    </row>
    <row r="247" spans="1:23" ht="42.75" customHeight="1" x14ac:dyDescent="0.2">
      <c r="A247" s="23">
        <v>290</v>
      </c>
      <c r="B247" s="9" t="s">
        <v>384</v>
      </c>
      <c r="C247" s="9" t="s">
        <v>527</v>
      </c>
      <c r="D247" s="9" t="s">
        <v>764</v>
      </c>
      <c r="E247" s="9" t="s">
        <v>415</v>
      </c>
      <c r="F247" s="24">
        <v>1</v>
      </c>
      <c r="G247" s="24">
        <v>80</v>
      </c>
      <c r="H247" s="24">
        <v>1</v>
      </c>
      <c r="I247" s="25">
        <v>76.8</v>
      </c>
      <c r="J247" s="25">
        <v>76.8</v>
      </c>
      <c r="K247" s="26">
        <v>0</v>
      </c>
      <c r="L247" s="26">
        <v>0</v>
      </c>
      <c r="M247" s="24">
        <v>165</v>
      </c>
      <c r="N247" s="28" t="s">
        <v>344</v>
      </c>
      <c r="O247" s="28" t="s">
        <v>345</v>
      </c>
      <c r="P247" s="28" t="s">
        <v>344</v>
      </c>
      <c r="Q247" s="28" t="s">
        <v>345</v>
      </c>
      <c r="R247" s="29">
        <f>LN(F247+1)/LN(MAX($F$10:$F$511)+1)*100</f>
        <v>6.987890304757113</v>
      </c>
      <c r="S247" s="29">
        <f>IF(H247=0,0,(K247*0.5+L247*0.5)*100)</f>
        <v>0</v>
      </c>
      <c r="T247" s="29">
        <f>IF(M247="",0,MIN(100,M247/MAX($M$10:$M$511)*100))</f>
        <v>2.2044088176352705</v>
      </c>
      <c r="U247" s="29">
        <f>MIN(100,IF(O247="Yes",50,0)+IF(N247="Yes",30,0)+IF(P247="Yes",20,0))</f>
        <v>50</v>
      </c>
      <c r="V247" s="30">
        <f>ROUND(U247*$C$3+S247*$C$4+T247*$C$5+R247*$C$6,1)</f>
        <v>19.100000000000001</v>
      </c>
      <c r="W247" s="9" t="s">
        <v>388</v>
      </c>
    </row>
    <row r="248" spans="1:23" ht="21.75" customHeight="1" x14ac:dyDescent="0.2">
      <c r="A248" s="23">
        <v>291</v>
      </c>
      <c r="B248" s="9" t="s">
        <v>384</v>
      </c>
      <c r="C248" s="9" t="s">
        <v>527</v>
      </c>
      <c r="D248" s="9" t="s">
        <v>765</v>
      </c>
      <c r="E248" s="9" t="s">
        <v>415</v>
      </c>
      <c r="F248" s="24">
        <v>1</v>
      </c>
      <c r="G248" s="24">
        <v>80</v>
      </c>
      <c r="H248" s="24">
        <v>1</v>
      </c>
      <c r="I248" s="25">
        <v>79.099999999999994</v>
      </c>
      <c r="J248" s="25">
        <v>79.099999999999994</v>
      </c>
      <c r="K248" s="26">
        <v>0</v>
      </c>
      <c r="L248" s="26">
        <v>0</v>
      </c>
      <c r="M248" s="24">
        <v>165</v>
      </c>
      <c r="N248" s="28" t="s">
        <v>344</v>
      </c>
      <c r="O248" s="28" t="s">
        <v>345</v>
      </c>
      <c r="P248" s="28" t="s">
        <v>344</v>
      </c>
      <c r="Q248" s="28" t="s">
        <v>345</v>
      </c>
      <c r="R248" s="29">
        <f>LN(F248+1)/LN(MAX($F$10:$F$511)+1)*100</f>
        <v>6.987890304757113</v>
      </c>
      <c r="S248" s="29">
        <f>IF(H248=0,0,(K248*0.5+L248*0.5)*100)</f>
        <v>0</v>
      </c>
      <c r="T248" s="29">
        <f>IF(M248="",0,MIN(100,M248/MAX($M$10:$M$511)*100))</f>
        <v>2.2044088176352705</v>
      </c>
      <c r="U248" s="29">
        <f>MIN(100,IF(O248="Yes",50,0)+IF(N248="Yes",30,0)+IF(P248="Yes",20,0))</f>
        <v>50</v>
      </c>
      <c r="V248" s="30">
        <f>ROUND(U248*$C$3+S248*$C$4+T248*$C$5+R248*$C$6,1)</f>
        <v>19.100000000000001</v>
      </c>
      <c r="W248" s="9" t="s">
        <v>388</v>
      </c>
    </row>
    <row r="249" spans="1:23" ht="21.75" customHeight="1" x14ac:dyDescent="0.2">
      <c r="A249" s="23">
        <v>292</v>
      </c>
      <c r="B249" s="9" t="s">
        <v>416</v>
      </c>
      <c r="C249" s="9" t="s">
        <v>766</v>
      </c>
      <c r="D249" s="9" t="s">
        <v>195</v>
      </c>
      <c r="E249" s="9" t="s">
        <v>767</v>
      </c>
      <c r="F249" s="24">
        <v>8</v>
      </c>
      <c r="G249" s="24">
        <v>14</v>
      </c>
      <c r="H249" s="24">
        <v>8</v>
      </c>
      <c r="I249" s="25">
        <v>176.9</v>
      </c>
      <c r="J249" s="25">
        <v>155.4</v>
      </c>
      <c r="K249" s="26">
        <v>0.75</v>
      </c>
      <c r="L249" s="26">
        <v>0.5</v>
      </c>
      <c r="M249" s="24">
        <v>42</v>
      </c>
      <c r="N249" s="31"/>
      <c r="O249" s="28" t="s">
        <v>345</v>
      </c>
      <c r="P249" s="28"/>
      <c r="Q249" s="28" t="s">
        <v>345</v>
      </c>
      <c r="R249" s="29">
        <f>LN(F249+1)/LN(MAX($F$10:$F$511)+1)*100</f>
        <v>22.151088184385912</v>
      </c>
      <c r="S249" s="29">
        <f>IF(H249=0,0,(K249*0.5+L249*0.5)*100)</f>
        <v>62.5</v>
      </c>
      <c r="T249" s="29">
        <f>IF(M249="",0,MIN(100,M249/MAX($M$10:$M$511)*100))</f>
        <v>0.56112224448897796</v>
      </c>
      <c r="U249" s="29">
        <f>MIN(100,IF(O249="Yes",50,0)+IF(N249="Yes",30,0)+IF(P249="Yes",20,0))</f>
        <v>0</v>
      </c>
      <c r="V249" s="30">
        <f>ROUND(U249*$C$3+S249*$C$4+T249*$C$5+R249*$C$6,1)</f>
        <v>19.100000000000001</v>
      </c>
      <c r="W249" s="9" t="s">
        <v>597</v>
      </c>
    </row>
    <row r="250" spans="1:23" ht="21.75" customHeight="1" x14ac:dyDescent="0.2">
      <c r="A250" s="23">
        <v>293</v>
      </c>
      <c r="B250" s="9" t="s">
        <v>384</v>
      </c>
      <c r="C250" s="9" t="s">
        <v>761</v>
      </c>
      <c r="D250" s="9" t="s">
        <v>656</v>
      </c>
      <c r="E250" s="9" t="s">
        <v>657</v>
      </c>
      <c r="F250" s="24">
        <v>4</v>
      </c>
      <c r="G250" s="24">
        <v>128</v>
      </c>
      <c r="H250" s="24">
        <v>4</v>
      </c>
      <c r="I250" s="25">
        <v>132.1</v>
      </c>
      <c r="J250" s="25">
        <v>136.6</v>
      </c>
      <c r="K250" s="26">
        <v>1</v>
      </c>
      <c r="L250" s="26">
        <v>0.25</v>
      </c>
      <c r="M250" s="24">
        <v>302</v>
      </c>
      <c r="N250" s="31"/>
      <c r="O250" s="28" t="s">
        <v>345</v>
      </c>
      <c r="P250" s="28"/>
      <c r="Q250" s="28" t="s">
        <v>345</v>
      </c>
      <c r="R250" s="29">
        <f>LN(F250+1)/LN(MAX($F$10:$F$511)+1)*100</f>
        <v>16.225378822606551</v>
      </c>
      <c r="S250" s="29">
        <f>IF(H250=0,0,(K250*0.5+L250*0.5)*100)</f>
        <v>62.5</v>
      </c>
      <c r="T250" s="29">
        <f>IF(M250="",0,MIN(100,M250/MAX($M$10:$M$511)*100))</f>
        <v>4.034736138944556</v>
      </c>
      <c r="U250" s="29">
        <f>MIN(100,IF(O250="Yes",50,0)+IF(N250="Yes",30,0)+IF(P250="Yes",20,0))</f>
        <v>0</v>
      </c>
      <c r="V250" s="30">
        <f>ROUND(U250*$C$3+S250*$C$4+T250*$C$5+R250*$C$6,1)</f>
        <v>19.100000000000001</v>
      </c>
      <c r="W250" s="9" t="s">
        <v>597</v>
      </c>
    </row>
    <row r="251" spans="1:23" ht="21.75" customHeight="1" x14ac:dyDescent="0.2">
      <c r="A251" s="23">
        <v>294</v>
      </c>
      <c r="B251" s="9" t="s">
        <v>384</v>
      </c>
      <c r="C251" s="9" t="s">
        <v>429</v>
      </c>
      <c r="D251" s="9" t="s">
        <v>768</v>
      </c>
      <c r="E251" s="9" t="s">
        <v>431</v>
      </c>
      <c r="F251" s="24">
        <v>1</v>
      </c>
      <c r="G251" s="24">
        <v>57</v>
      </c>
      <c r="H251" s="24">
        <v>1</v>
      </c>
      <c r="I251" s="25">
        <v>0</v>
      </c>
      <c r="J251" s="25">
        <v>0</v>
      </c>
      <c r="K251" s="26">
        <v>0</v>
      </c>
      <c r="L251" s="26">
        <v>0</v>
      </c>
      <c r="M251" s="24">
        <v>142</v>
      </c>
      <c r="N251" s="28" t="s">
        <v>344</v>
      </c>
      <c r="O251" s="28" t="s">
        <v>345</v>
      </c>
      <c r="P251" s="28" t="s">
        <v>344</v>
      </c>
      <c r="Q251" s="28" t="s">
        <v>345</v>
      </c>
      <c r="R251" s="29">
        <f>LN(F251+1)/LN(MAX($F$10:$F$511)+1)*100</f>
        <v>6.987890304757113</v>
      </c>
      <c r="S251" s="29">
        <f>IF(H251=0,0,(K251*0.5+L251*0.5)*100)</f>
        <v>0</v>
      </c>
      <c r="T251" s="29">
        <f>IF(M251="",0,MIN(100,M251/MAX($M$10:$M$511)*100))</f>
        <v>1.8971275885103542</v>
      </c>
      <c r="U251" s="29">
        <f>MIN(100,IF(O251="Yes",50,0)+IF(N251="Yes",30,0)+IF(P251="Yes",20,0))</f>
        <v>50</v>
      </c>
      <c r="V251" s="30">
        <f>ROUND(U251*$C$3+S251*$C$4+T251*$C$5+R251*$C$6,1)</f>
        <v>19</v>
      </c>
      <c r="W251" s="9" t="s">
        <v>388</v>
      </c>
    </row>
    <row r="252" spans="1:23" ht="21.75" customHeight="1" x14ac:dyDescent="0.2">
      <c r="A252" s="23">
        <v>295</v>
      </c>
      <c r="B252" s="9" t="s">
        <v>372</v>
      </c>
      <c r="C252" s="9" t="s">
        <v>622</v>
      </c>
      <c r="D252" s="9" t="s">
        <v>662</v>
      </c>
      <c r="E252" s="9" t="s">
        <v>374</v>
      </c>
      <c r="F252" s="24">
        <v>1</v>
      </c>
      <c r="G252" s="24">
        <v>397</v>
      </c>
      <c r="H252" s="24">
        <v>1</v>
      </c>
      <c r="I252" s="25">
        <v>0.4</v>
      </c>
      <c r="J252" s="25">
        <v>0.4</v>
      </c>
      <c r="K252" s="26">
        <v>0</v>
      </c>
      <c r="L252" s="26">
        <v>0</v>
      </c>
      <c r="M252" s="24">
        <v>95</v>
      </c>
      <c r="N252" s="28" t="s">
        <v>344</v>
      </c>
      <c r="O252" s="28" t="s">
        <v>345</v>
      </c>
      <c r="P252" s="28" t="s">
        <v>344</v>
      </c>
      <c r="Q252" s="28" t="s">
        <v>345</v>
      </c>
      <c r="R252" s="29">
        <f>LN(F252+1)/LN(MAX($F$10:$F$511)+1)*100</f>
        <v>6.987890304757113</v>
      </c>
      <c r="S252" s="29">
        <f>IF(H252=0,0,(K252*0.5+L252*0.5)*100)</f>
        <v>0</v>
      </c>
      <c r="T252" s="29">
        <f>IF(M252="",0,MIN(100,M252/MAX($M$10:$M$511)*100))</f>
        <v>1.2692050768203071</v>
      </c>
      <c r="U252" s="29">
        <f>MIN(100,IF(O252="Yes",50,0)+IF(N252="Yes",30,0)+IF(P252="Yes",20,0))</f>
        <v>50</v>
      </c>
      <c r="V252" s="30">
        <f>ROUND(U252*$C$3+S252*$C$4+T252*$C$5+R252*$C$6,1)</f>
        <v>18.899999999999999</v>
      </c>
      <c r="W252" s="9" t="s">
        <v>388</v>
      </c>
    </row>
    <row r="253" spans="1:23" ht="21.75" customHeight="1" x14ac:dyDescent="0.2">
      <c r="A253" s="23">
        <v>296</v>
      </c>
      <c r="B253" s="9" t="s">
        <v>208</v>
      </c>
      <c r="C253" s="9" t="s">
        <v>612</v>
      </c>
      <c r="D253" s="9" t="s">
        <v>769</v>
      </c>
      <c r="E253" s="9" t="s">
        <v>614</v>
      </c>
      <c r="F253" s="24">
        <v>1</v>
      </c>
      <c r="G253" s="24">
        <v>7</v>
      </c>
      <c r="H253" s="24">
        <v>1</v>
      </c>
      <c r="I253" s="25">
        <v>41.9</v>
      </c>
      <c r="J253" s="25">
        <v>41.9</v>
      </c>
      <c r="K253" s="26">
        <v>0</v>
      </c>
      <c r="L253" s="26">
        <v>0</v>
      </c>
      <c r="M253" s="24">
        <v>82</v>
      </c>
      <c r="N253" s="28" t="s">
        <v>344</v>
      </c>
      <c r="O253" s="28" t="s">
        <v>345</v>
      </c>
      <c r="P253" s="28" t="s">
        <v>344</v>
      </c>
      <c r="Q253" s="28" t="s">
        <v>344</v>
      </c>
      <c r="R253" s="29">
        <f>LN(F253+1)/LN(MAX($F$10:$F$511)+1)*100</f>
        <v>6.987890304757113</v>
      </c>
      <c r="S253" s="29">
        <f>IF(H253=0,0,(K253*0.5+L253*0.5)*100)</f>
        <v>0</v>
      </c>
      <c r="T253" s="29">
        <f>IF(M253="",0,MIN(100,M253/MAX($M$10:$M$511)*100))</f>
        <v>1.0955243820975284</v>
      </c>
      <c r="U253" s="29">
        <f>MIN(100,IF(O253="Yes",50,0)+IF(N253="Yes",30,0)+IF(P253="Yes",20,0))</f>
        <v>50</v>
      </c>
      <c r="V253" s="30">
        <f>ROUND(U253*$C$3+S253*$C$4+T253*$C$5+R253*$C$6,1)</f>
        <v>18.8</v>
      </c>
      <c r="W253" s="9" t="s">
        <v>388</v>
      </c>
    </row>
    <row r="254" spans="1:23" ht="15" customHeight="1" x14ac:dyDescent="0.2">
      <c r="A254" s="23">
        <v>297</v>
      </c>
      <c r="B254" s="9" t="s">
        <v>208</v>
      </c>
      <c r="C254" s="9" t="s">
        <v>612</v>
      </c>
      <c r="D254" s="9" t="s">
        <v>770</v>
      </c>
      <c r="E254" s="9" t="s">
        <v>614</v>
      </c>
      <c r="F254" s="24">
        <v>1</v>
      </c>
      <c r="G254" s="24">
        <v>7</v>
      </c>
      <c r="H254" s="24">
        <v>1</v>
      </c>
      <c r="I254" s="25">
        <v>22.5</v>
      </c>
      <c r="J254" s="25">
        <v>22.5</v>
      </c>
      <c r="K254" s="26">
        <v>0</v>
      </c>
      <c r="L254" s="26">
        <v>0</v>
      </c>
      <c r="M254" s="24">
        <v>82</v>
      </c>
      <c r="N254" s="28" t="s">
        <v>344</v>
      </c>
      <c r="O254" s="28" t="s">
        <v>345</v>
      </c>
      <c r="P254" s="28" t="s">
        <v>344</v>
      </c>
      <c r="Q254" s="28" t="s">
        <v>344</v>
      </c>
      <c r="R254" s="29">
        <f>LN(F254+1)/LN(MAX($F$10:$F$511)+1)*100</f>
        <v>6.987890304757113</v>
      </c>
      <c r="S254" s="29">
        <f>IF(H254=0,0,(K254*0.5+L254*0.5)*100)</f>
        <v>0</v>
      </c>
      <c r="T254" s="29">
        <f>IF(M254="",0,MIN(100,M254/MAX($M$10:$M$511)*100))</f>
        <v>1.0955243820975284</v>
      </c>
      <c r="U254" s="29">
        <f>MIN(100,IF(O254="Yes",50,0)+IF(N254="Yes",30,0)+IF(P254="Yes",20,0))</f>
        <v>50</v>
      </c>
      <c r="V254" s="30">
        <f>ROUND(U254*$C$3+S254*$C$4+T254*$C$5+R254*$C$6,1)</f>
        <v>18.8</v>
      </c>
      <c r="W254" s="9" t="s">
        <v>388</v>
      </c>
    </row>
    <row r="255" spans="1:23" ht="32.25" customHeight="1" x14ac:dyDescent="0.2">
      <c r="A255" s="23">
        <v>298</v>
      </c>
      <c r="B255" s="9" t="s">
        <v>384</v>
      </c>
      <c r="C255" s="9" t="s">
        <v>610</v>
      </c>
      <c r="D255" s="9" t="s">
        <v>483</v>
      </c>
      <c r="E255" s="9" t="s">
        <v>415</v>
      </c>
      <c r="F255" s="24">
        <v>1</v>
      </c>
      <c r="G255" s="24">
        <v>777</v>
      </c>
      <c r="H255" s="24">
        <v>1</v>
      </c>
      <c r="I255" s="25">
        <v>43.3</v>
      </c>
      <c r="J255" s="25">
        <v>43.3</v>
      </c>
      <c r="K255" s="26">
        <v>0</v>
      </c>
      <c r="L255" s="26">
        <v>0</v>
      </c>
      <c r="M255" s="24">
        <v>74</v>
      </c>
      <c r="N255" s="28" t="s">
        <v>344</v>
      </c>
      <c r="O255" s="28" t="s">
        <v>345</v>
      </c>
      <c r="P255" s="28" t="s">
        <v>344</v>
      </c>
      <c r="Q255" s="28" t="s">
        <v>345</v>
      </c>
      <c r="R255" s="29">
        <f>LN(F255+1)/LN(MAX($F$10:$F$511)+1)*100</f>
        <v>6.987890304757113</v>
      </c>
      <c r="S255" s="29">
        <f>IF(H255=0,0,(K255*0.5+L255*0.5)*100)</f>
        <v>0</v>
      </c>
      <c r="T255" s="29">
        <f>IF(M255="",0,MIN(100,M255/MAX($M$10:$M$511)*100))</f>
        <v>0.98864395457581833</v>
      </c>
      <c r="U255" s="29">
        <f>MIN(100,IF(O255="Yes",50,0)+IF(N255="Yes",30,0)+IF(P255="Yes",20,0))</f>
        <v>50</v>
      </c>
      <c r="V255" s="30">
        <f>ROUND(U255*$C$3+S255*$C$4+T255*$C$5+R255*$C$6,1)</f>
        <v>18.8</v>
      </c>
      <c r="W255" s="9" t="s">
        <v>388</v>
      </c>
    </row>
    <row r="256" spans="1:23" ht="32.25" customHeight="1" x14ac:dyDescent="0.2">
      <c r="A256" s="23">
        <v>299</v>
      </c>
      <c r="B256" s="9" t="s">
        <v>384</v>
      </c>
      <c r="C256" s="9" t="s">
        <v>610</v>
      </c>
      <c r="D256" s="9" t="s">
        <v>771</v>
      </c>
      <c r="E256" s="9" t="s">
        <v>415</v>
      </c>
      <c r="F256" s="24">
        <v>1</v>
      </c>
      <c r="G256" s="24">
        <v>777</v>
      </c>
      <c r="H256" s="24">
        <v>1</v>
      </c>
      <c r="I256" s="25">
        <v>6.7</v>
      </c>
      <c r="J256" s="25">
        <v>6.7</v>
      </c>
      <c r="K256" s="26">
        <v>0</v>
      </c>
      <c r="L256" s="26">
        <v>0</v>
      </c>
      <c r="M256" s="24">
        <v>74</v>
      </c>
      <c r="N256" s="28" t="s">
        <v>344</v>
      </c>
      <c r="O256" s="28" t="s">
        <v>345</v>
      </c>
      <c r="P256" s="28" t="s">
        <v>344</v>
      </c>
      <c r="Q256" s="28" t="s">
        <v>345</v>
      </c>
      <c r="R256" s="29">
        <f>LN(F256+1)/LN(MAX($F$10:$F$511)+1)*100</f>
        <v>6.987890304757113</v>
      </c>
      <c r="S256" s="29">
        <f>IF(H256=0,0,(K256*0.5+L256*0.5)*100)</f>
        <v>0</v>
      </c>
      <c r="T256" s="29">
        <f>IF(M256="",0,MIN(100,M256/MAX($M$10:$M$511)*100))</f>
        <v>0.98864395457581833</v>
      </c>
      <c r="U256" s="29">
        <f>MIN(100,IF(O256="Yes",50,0)+IF(N256="Yes",30,0)+IF(P256="Yes",20,0))</f>
        <v>50</v>
      </c>
      <c r="V256" s="30">
        <f>ROUND(U256*$C$3+S256*$C$4+T256*$C$5+R256*$C$6,1)</f>
        <v>18.8</v>
      </c>
      <c r="W256" s="9" t="s">
        <v>388</v>
      </c>
    </row>
    <row r="257" spans="1:23" ht="53.25" customHeight="1" x14ac:dyDescent="0.2">
      <c r="A257" s="23">
        <v>300</v>
      </c>
      <c r="B257" s="9" t="s">
        <v>280</v>
      </c>
      <c r="C257" s="9" t="s">
        <v>772</v>
      </c>
      <c r="D257" s="9" t="s">
        <v>647</v>
      </c>
      <c r="E257" s="9" t="s">
        <v>488</v>
      </c>
      <c r="F257" s="24">
        <v>1</v>
      </c>
      <c r="G257" s="24">
        <v>101</v>
      </c>
      <c r="H257" s="24">
        <v>1</v>
      </c>
      <c r="I257" s="25">
        <v>68.900000000000006</v>
      </c>
      <c r="J257" s="25">
        <v>68.900000000000006</v>
      </c>
      <c r="K257" s="26">
        <v>0</v>
      </c>
      <c r="L257" s="26">
        <v>0</v>
      </c>
      <c r="M257" s="24">
        <v>32</v>
      </c>
      <c r="N257" s="28" t="s">
        <v>344</v>
      </c>
      <c r="O257" s="28" t="s">
        <v>345</v>
      </c>
      <c r="P257" s="28" t="s">
        <v>344</v>
      </c>
      <c r="Q257" s="28" t="s">
        <v>345</v>
      </c>
      <c r="R257" s="29">
        <f>LN(F257+1)/LN(MAX($F$10:$F$511)+1)*100</f>
        <v>6.987890304757113</v>
      </c>
      <c r="S257" s="29">
        <f>IF(H257=0,0,(K257*0.5+L257*0.5)*100)</f>
        <v>0</v>
      </c>
      <c r="T257" s="29">
        <f>IF(M257="",0,MIN(100,M257/MAX($M$10:$M$511)*100))</f>
        <v>0.42752171008684037</v>
      </c>
      <c r="U257" s="29">
        <f>MIN(100,IF(O257="Yes",50,0)+IF(N257="Yes",30,0)+IF(P257="Yes",20,0))</f>
        <v>50</v>
      </c>
      <c r="V257" s="30">
        <f>ROUND(U257*$C$3+S257*$C$4+T257*$C$5+R257*$C$6,1)</f>
        <v>18.7</v>
      </c>
      <c r="W257" s="9" t="s">
        <v>388</v>
      </c>
    </row>
    <row r="258" spans="1:23" ht="21.75" customHeight="1" x14ac:dyDescent="0.2">
      <c r="A258" s="23">
        <v>301</v>
      </c>
      <c r="B258" s="9" t="s">
        <v>384</v>
      </c>
      <c r="C258" s="9" t="s">
        <v>452</v>
      </c>
      <c r="D258" s="9" t="s">
        <v>773</v>
      </c>
      <c r="E258" s="9" t="s">
        <v>415</v>
      </c>
      <c r="F258" s="24">
        <v>1</v>
      </c>
      <c r="G258" s="24">
        <v>10</v>
      </c>
      <c r="H258" s="24">
        <v>1</v>
      </c>
      <c r="I258" s="25">
        <v>35.1</v>
      </c>
      <c r="J258" s="25">
        <v>35.1</v>
      </c>
      <c r="K258" s="26">
        <v>0</v>
      </c>
      <c r="L258" s="26">
        <v>0</v>
      </c>
      <c r="M258" s="24">
        <v>24</v>
      </c>
      <c r="N258" s="28" t="s">
        <v>344</v>
      </c>
      <c r="O258" s="28" t="s">
        <v>345</v>
      </c>
      <c r="P258" s="28" t="s">
        <v>344</v>
      </c>
      <c r="Q258" s="28" t="s">
        <v>345</v>
      </c>
      <c r="R258" s="29">
        <f>LN(F258+1)/LN(MAX($F$10:$F$511)+1)*100</f>
        <v>6.987890304757113</v>
      </c>
      <c r="S258" s="29">
        <f>IF(H258=0,0,(K258*0.5+L258*0.5)*100)</f>
        <v>0</v>
      </c>
      <c r="T258" s="29">
        <f>IF(M258="",0,MIN(100,M258/MAX($M$10:$M$511)*100))</f>
        <v>0.32064128256513025</v>
      </c>
      <c r="U258" s="29">
        <f>MIN(100,IF(O258="Yes",50,0)+IF(N258="Yes",30,0)+IF(P258="Yes",20,0))</f>
        <v>50</v>
      </c>
      <c r="V258" s="30">
        <f>ROUND(U258*$C$3+S258*$C$4+T258*$C$5+R258*$C$6,1)</f>
        <v>18.600000000000001</v>
      </c>
      <c r="W258" s="9" t="s">
        <v>388</v>
      </c>
    </row>
    <row r="259" spans="1:23" ht="32.25" customHeight="1" x14ac:dyDescent="0.2">
      <c r="A259" s="23">
        <v>302</v>
      </c>
      <c r="B259" s="9" t="s">
        <v>280</v>
      </c>
      <c r="C259" s="9" t="s">
        <v>492</v>
      </c>
      <c r="D259" s="9" t="s">
        <v>603</v>
      </c>
      <c r="E259" s="9" t="s">
        <v>604</v>
      </c>
      <c r="F259" s="24">
        <v>1</v>
      </c>
      <c r="G259" s="24">
        <v>37</v>
      </c>
      <c r="H259" s="24">
        <v>1</v>
      </c>
      <c r="I259" s="25">
        <v>30.4</v>
      </c>
      <c r="J259" s="25">
        <v>30.4</v>
      </c>
      <c r="K259" s="26">
        <v>0</v>
      </c>
      <c r="L259" s="26">
        <v>0</v>
      </c>
      <c r="M259" s="24">
        <v>17</v>
      </c>
      <c r="N259" s="28" t="s">
        <v>344</v>
      </c>
      <c r="O259" s="28" t="s">
        <v>345</v>
      </c>
      <c r="P259" s="28" t="s">
        <v>344</v>
      </c>
      <c r="Q259" s="28" t="s">
        <v>345</v>
      </c>
      <c r="R259" s="29">
        <f>LN(F259+1)/LN(MAX($F$10:$F$511)+1)*100</f>
        <v>6.987890304757113</v>
      </c>
      <c r="S259" s="29">
        <f>IF(H259=0,0,(K259*0.5+L259*0.5)*100)</f>
        <v>0</v>
      </c>
      <c r="T259" s="29">
        <f>IF(M259="",0,MIN(100,M259/MAX($M$10:$M$511)*100))</f>
        <v>0.22712090848363395</v>
      </c>
      <c r="U259" s="29">
        <f>MIN(100,IF(O259="Yes",50,0)+IF(N259="Yes",30,0)+IF(P259="Yes",20,0))</f>
        <v>50</v>
      </c>
      <c r="V259" s="30">
        <f>ROUND(U259*$C$3+S259*$C$4+T259*$C$5+R259*$C$6,1)</f>
        <v>18.600000000000001</v>
      </c>
      <c r="W259" s="9" t="s">
        <v>388</v>
      </c>
    </row>
    <row r="260" spans="1:23" ht="21.75" customHeight="1" x14ac:dyDescent="0.2">
      <c r="A260" s="23">
        <v>303</v>
      </c>
      <c r="B260" s="9" t="s">
        <v>280</v>
      </c>
      <c r="C260" s="9" t="s">
        <v>492</v>
      </c>
      <c r="D260" s="9" t="s">
        <v>756</v>
      </c>
      <c r="E260" s="9" t="s">
        <v>604</v>
      </c>
      <c r="F260" s="24">
        <v>1</v>
      </c>
      <c r="G260" s="24">
        <v>37</v>
      </c>
      <c r="H260" s="24">
        <v>1</v>
      </c>
      <c r="I260" s="25">
        <v>19.5</v>
      </c>
      <c r="J260" s="25">
        <v>19.5</v>
      </c>
      <c r="K260" s="26">
        <v>0</v>
      </c>
      <c r="L260" s="26">
        <v>0</v>
      </c>
      <c r="M260" s="24">
        <v>17</v>
      </c>
      <c r="N260" s="28" t="s">
        <v>344</v>
      </c>
      <c r="O260" s="28" t="s">
        <v>345</v>
      </c>
      <c r="P260" s="28" t="s">
        <v>344</v>
      </c>
      <c r="Q260" s="28" t="s">
        <v>345</v>
      </c>
      <c r="R260" s="29">
        <f>LN(F260+1)/LN(MAX($F$10:$F$511)+1)*100</f>
        <v>6.987890304757113</v>
      </c>
      <c r="S260" s="29">
        <f>IF(H260=0,0,(K260*0.5+L260*0.5)*100)</f>
        <v>0</v>
      </c>
      <c r="T260" s="29">
        <f>IF(M260="",0,MIN(100,M260/MAX($M$10:$M$511)*100))</f>
        <v>0.22712090848363395</v>
      </c>
      <c r="U260" s="29">
        <f>MIN(100,IF(O260="Yes",50,0)+IF(N260="Yes",30,0)+IF(P260="Yes",20,0))</f>
        <v>50</v>
      </c>
      <c r="V260" s="30">
        <f>ROUND(U260*$C$3+S260*$C$4+T260*$C$5+R260*$C$6,1)</f>
        <v>18.600000000000001</v>
      </c>
      <c r="W260" s="9" t="s">
        <v>388</v>
      </c>
    </row>
    <row r="261" spans="1:23" ht="21.75" customHeight="1" x14ac:dyDescent="0.2">
      <c r="A261" s="23">
        <v>304</v>
      </c>
      <c r="B261" s="9" t="s">
        <v>384</v>
      </c>
      <c r="C261" s="9" t="s">
        <v>571</v>
      </c>
      <c r="D261" s="9" t="s">
        <v>428</v>
      </c>
      <c r="E261" s="9" t="s">
        <v>415</v>
      </c>
      <c r="F261" s="24">
        <v>1</v>
      </c>
      <c r="G261" s="24">
        <v>12</v>
      </c>
      <c r="H261" s="24">
        <v>1</v>
      </c>
      <c r="I261" s="25">
        <v>4</v>
      </c>
      <c r="J261" s="25">
        <v>4</v>
      </c>
      <c r="K261" s="26">
        <v>0</v>
      </c>
      <c r="L261" s="26">
        <v>0</v>
      </c>
      <c r="M261" s="24">
        <v>9</v>
      </c>
      <c r="N261" s="28" t="s">
        <v>344</v>
      </c>
      <c r="O261" s="28" t="s">
        <v>345</v>
      </c>
      <c r="P261" s="28" t="s">
        <v>344</v>
      </c>
      <c r="Q261" s="28" t="s">
        <v>345</v>
      </c>
      <c r="R261" s="29">
        <f>LN(F261+1)/LN(MAX($F$10:$F$511)+1)*100</f>
        <v>6.987890304757113</v>
      </c>
      <c r="S261" s="29">
        <f>IF(H261=0,0,(K261*0.5+L261*0.5)*100)</f>
        <v>0</v>
      </c>
      <c r="T261" s="29">
        <f>IF(M261="",0,MIN(100,M261/MAX($M$10:$M$511)*100))</f>
        <v>0.12024048096192384</v>
      </c>
      <c r="U261" s="29">
        <f>MIN(100,IF(O261="Yes",50,0)+IF(N261="Yes",30,0)+IF(P261="Yes",20,0))</f>
        <v>50</v>
      </c>
      <c r="V261" s="30">
        <f>ROUND(U261*$C$3+S261*$C$4+T261*$C$5+R261*$C$6,1)</f>
        <v>18.600000000000001</v>
      </c>
      <c r="W261" s="9" t="s">
        <v>388</v>
      </c>
    </row>
    <row r="262" spans="1:23" ht="42.75" customHeight="1" x14ac:dyDescent="0.2">
      <c r="A262" s="23">
        <v>305</v>
      </c>
      <c r="B262" s="9" t="s">
        <v>280</v>
      </c>
      <c r="C262" s="9" t="s">
        <v>574</v>
      </c>
      <c r="D262" s="9" t="s">
        <v>647</v>
      </c>
      <c r="E262" s="9" t="s">
        <v>488</v>
      </c>
      <c r="F262" s="24">
        <v>1</v>
      </c>
      <c r="G262" s="24">
        <v>13</v>
      </c>
      <c r="H262" s="24">
        <v>1</v>
      </c>
      <c r="I262" s="25">
        <v>76.2</v>
      </c>
      <c r="J262" s="25">
        <v>76.2</v>
      </c>
      <c r="K262" s="26">
        <v>0</v>
      </c>
      <c r="L262" s="26">
        <v>0</v>
      </c>
      <c r="M262" s="24">
        <v>6</v>
      </c>
      <c r="N262" s="28" t="s">
        <v>344</v>
      </c>
      <c r="O262" s="28" t="s">
        <v>345</v>
      </c>
      <c r="P262" s="28" t="s">
        <v>344</v>
      </c>
      <c r="Q262" s="28" t="s">
        <v>345</v>
      </c>
      <c r="R262" s="29">
        <f>LN(F262+1)/LN(MAX($F$10:$F$511)+1)*100</f>
        <v>6.987890304757113</v>
      </c>
      <c r="S262" s="29">
        <f>IF(H262=0,0,(K262*0.5+L262*0.5)*100)</f>
        <v>0</v>
      </c>
      <c r="T262" s="29">
        <f>IF(M262="",0,MIN(100,M262/MAX($M$10:$M$511)*100))</f>
        <v>8.0160320641282562E-2</v>
      </c>
      <c r="U262" s="29">
        <f>MIN(100,IF(O262="Yes",50,0)+IF(N262="Yes",30,0)+IF(P262="Yes",20,0))</f>
        <v>50</v>
      </c>
      <c r="V262" s="30">
        <f>ROUND(U262*$C$3+S262*$C$4+T262*$C$5+R262*$C$6,1)</f>
        <v>18.600000000000001</v>
      </c>
      <c r="W262" s="9" t="s">
        <v>388</v>
      </c>
    </row>
    <row r="263" spans="1:23" ht="32.25" customHeight="1" x14ac:dyDescent="0.2">
      <c r="A263" s="23">
        <v>306</v>
      </c>
      <c r="B263" s="9" t="s">
        <v>384</v>
      </c>
      <c r="C263" s="9" t="s">
        <v>774</v>
      </c>
      <c r="D263" s="9" t="s">
        <v>775</v>
      </c>
      <c r="E263" s="9" t="s">
        <v>415</v>
      </c>
      <c r="F263" s="24">
        <v>1</v>
      </c>
      <c r="G263" s="24">
        <v>44</v>
      </c>
      <c r="H263" s="24">
        <v>1</v>
      </c>
      <c r="I263" s="25">
        <v>17</v>
      </c>
      <c r="J263" s="25">
        <v>17</v>
      </c>
      <c r="K263" s="26">
        <v>0</v>
      </c>
      <c r="L263" s="26">
        <v>0</v>
      </c>
      <c r="M263" s="24">
        <v>5</v>
      </c>
      <c r="N263" s="28" t="s">
        <v>344</v>
      </c>
      <c r="O263" s="28" t="s">
        <v>345</v>
      </c>
      <c r="P263" s="28" t="s">
        <v>344</v>
      </c>
      <c r="Q263" s="28" t="s">
        <v>345</v>
      </c>
      <c r="R263" s="29">
        <f>LN(F263+1)/LN(MAX($F$10:$F$511)+1)*100</f>
        <v>6.987890304757113</v>
      </c>
      <c r="S263" s="29">
        <f>IF(H263=0,0,(K263*0.5+L263*0.5)*100)</f>
        <v>0</v>
      </c>
      <c r="T263" s="29">
        <f>IF(M263="",0,MIN(100,M263/MAX($M$10:$M$511)*100))</f>
        <v>6.6800267201068811E-2</v>
      </c>
      <c r="U263" s="29">
        <f>MIN(100,IF(O263="Yes",50,0)+IF(N263="Yes",30,0)+IF(P263="Yes",20,0))</f>
        <v>50</v>
      </c>
      <c r="V263" s="30">
        <f>ROUND(U263*$C$3+S263*$C$4+T263*$C$5+R263*$C$6,1)</f>
        <v>18.600000000000001</v>
      </c>
      <c r="W263" s="9" t="s">
        <v>388</v>
      </c>
    </row>
    <row r="264" spans="1:23" ht="21.75" customHeight="1" x14ac:dyDescent="0.2">
      <c r="A264" s="23">
        <v>307</v>
      </c>
      <c r="B264" s="9" t="s">
        <v>397</v>
      </c>
      <c r="C264" s="9" t="s">
        <v>575</v>
      </c>
      <c r="D264" s="9"/>
      <c r="E264" s="9" t="s">
        <v>462</v>
      </c>
      <c r="F264" s="24">
        <v>1</v>
      </c>
      <c r="G264" s="24">
        <v>5</v>
      </c>
      <c r="H264" s="24">
        <v>0</v>
      </c>
      <c r="I264" s="25"/>
      <c r="J264" s="25"/>
      <c r="K264" s="26"/>
      <c r="L264" s="26"/>
      <c r="M264" s="24">
        <v>4</v>
      </c>
      <c r="N264" s="28" t="s">
        <v>344</v>
      </c>
      <c r="O264" s="28" t="s">
        <v>345</v>
      </c>
      <c r="P264" s="28" t="s">
        <v>344</v>
      </c>
      <c r="Q264" s="28" t="s">
        <v>345</v>
      </c>
      <c r="R264" s="29">
        <f>LN(F264+1)/LN(MAX($F$10:$F$511)+1)*100</f>
        <v>6.987890304757113</v>
      </c>
      <c r="S264" s="29">
        <f>IF(H264=0,0,(K264*0.5+L264*0.5)*100)</f>
        <v>0</v>
      </c>
      <c r="T264" s="29">
        <f>IF(M264="",0,MIN(100,M264/MAX($M$10:$M$511)*100))</f>
        <v>5.3440213760855046E-2</v>
      </c>
      <c r="U264" s="29">
        <f>MIN(100,IF(O264="Yes",50,0)+IF(N264="Yes",30,0)+IF(P264="Yes",20,0))</f>
        <v>50</v>
      </c>
      <c r="V264" s="30">
        <f>ROUND(U264*$C$3+S264*$C$4+T264*$C$5+R264*$C$6,1)</f>
        <v>18.600000000000001</v>
      </c>
      <c r="W264" s="9" t="s">
        <v>776</v>
      </c>
    </row>
    <row r="265" spans="1:23" ht="42.75" customHeight="1" x14ac:dyDescent="0.2">
      <c r="A265" s="23">
        <v>308</v>
      </c>
      <c r="B265" s="9" t="s">
        <v>439</v>
      </c>
      <c r="C265" s="9" t="s">
        <v>777</v>
      </c>
      <c r="D265" s="9"/>
      <c r="E265" s="9" t="s">
        <v>441</v>
      </c>
      <c r="F265" s="24">
        <v>1</v>
      </c>
      <c r="G265" s="24">
        <v>2</v>
      </c>
      <c r="H265" s="24">
        <v>1</v>
      </c>
      <c r="I265" s="25">
        <v>34.6</v>
      </c>
      <c r="J265" s="25">
        <v>34.6</v>
      </c>
      <c r="K265" s="26">
        <v>0</v>
      </c>
      <c r="L265" s="26">
        <v>0</v>
      </c>
      <c r="M265" s="24">
        <v>1</v>
      </c>
      <c r="N265" s="28" t="s">
        <v>344</v>
      </c>
      <c r="O265" s="28" t="s">
        <v>345</v>
      </c>
      <c r="P265" s="28" t="s">
        <v>344</v>
      </c>
      <c r="Q265" s="28" t="s">
        <v>344</v>
      </c>
      <c r="R265" s="29">
        <f>LN(F265+1)/LN(MAX($F$10:$F$511)+1)*100</f>
        <v>6.987890304757113</v>
      </c>
      <c r="S265" s="29">
        <f>IF(H265=0,0,(K265*0.5+L265*0.5)*100)</f>
        <v>0</v>
      </c>
      <c r="T265" s="29">
        <f>IF(M265="",0,MIN(100,M265/MAX($M$10:$M$511)*100))</f>
        <v>1.3360053440213761E-2</v>
      </c>
      <c r="U265" s="29">
        <f>MIN(100,IF(O265="Yes",50,0)+IF(N265="Yes",30,0)+IF(P265="Yes",20,0))</f>
        <v>50</v>
      </c>
      <c r="V265" s="30">
        <f>ROUND(U265*$C$3+S265*$C$4+T265*$C$5+R265*$C$6,1)</f>
        <v>18.600000000000001</v>
      </c>
      <c r="W265" s="9" t="s">
        <v>723</v>
      </c>
    </row>
    <row r="266" spans="1:23" ht="21.75" customHeight="1" x14ac:dyDescent="0.2">
      <c r="A266" s="23">
        <v>309</v>
      </c>
      <c r="B266" s="9" t="s">
        <v>280</v>
      </c>
      <c r="C266" s="9" t="s">
        <v>757</v>
      </c>
      <c r="D266" s="9" t="s">
        <v>401</v>
      </c>
      <c r="E266" s="9" t="s">
        <v>343</v>
      </c>
      <c r="F266" s="24">
        <v>1</v>
      </c>
      <c r="G266" s="24">
        <v>5</v>
      </c>
      <c r="H266" s="24">
        <v>1</v>
      </c>
      <c r="I266" s="25">
        <v>25</v>
      </c>
      <c r="J266" s="25">
        <v>25</v>
      </c>
      <c r="K266" s="26">
        <v>0</v>
      </c>
      <c r="L266" s="26">
        <v>0</v>
      </c>
      <c r="M266" s="24">
        <v>1</v>
      </c>
      <c r="N266" s="28" t="s">
        <v>344</v>
      </c>
      <c r="O266" s="28" t="s">
        <v>345</v>
      </c>
      <c r="P266" s="28" t="s">
        <v>344</v>
      </c>
      <c r="Q266" s="28" t="s">
        <v>345</v>
      </c>
      <c r="R266" s="29">
        <f>LN(F266+1)/LN(MAX($F$10:$F$511)+1)*100</f>
        <v>6.987890304757113</v>
      </c>
      <c r="S266" s="29">
        <f>IF(H266=0,0,(K266*0.5+L266*0.5)*100)</f>
        <v>0</v>
      </c>
      <c r="T266" s="29">
        <f>IF(M266="",0,MIN(100,M266/MAX($M$10:$M$511)*100))</f>
        <v>1.3360053440213761E-2</v>
      </c>
      <c r="U266" s="29">
        <f>MIN(100,IF(O266="Yes",50,0)+IF(N266="Yes",30,0)+IF(P266="Yes",20,0))</f>
        <v>50</v>
      </c>
      <c r="V266" s="30">
        <f>ROUND(U266*$C$3+S266*$C$4+T266*$C$5+R266*$C$6,1)</f>
        <v>18.600000000000001</v>
      </c>
      <c r="W266" s="9" t="s">
        <v>451</v>
      </c>
    </row>
    <row r="267" spans="1:23" ht="21.75" customHeight="1" x14ac:dyDescent="0.2">
      <c r="A267" s="23">
        <v>310</v>
      </c>
      <c r="B267" s="9" t="s">
        <v>280</v>
      </c>
      <c r="C267" s="9" t="s">
        <v>757</v>
      </c>
      <c r="D267" s="9" t="s">
        <v>389</v>
      </c>
      <c r="E267" s="9" t="s">
        <v>343</v>
      </c>
      <c r="F267" s="24">
        <v>1</v>
      </c>
      <c r="G267" s="24">
        <v>5</v>
      </c>
      <c r="H267" s="24">
        <v>1</v>
      </c>
      <c r="I267" s="25">
        <v>13.1</v>
      </c>
      <c r="J267" s="25">
        <v>13.1</v>
      </c>
      <c r="K267" s="26">
        <v>0</v>
      </c>
      <c r="L267" s="26">
        <v>0</v>
      </c>
      <c r="M267" s="24">
        <v>1</v>
      </c>
      <c r="N267" s="28" t="s">
        <v>344</v>
      </c>
      <c r="O267" s="28" t="s">
        <v>345</v>
      </c>
      <c r="P267" s="28" t="s">
        <v>344</v>
      </c>
      <c r="Q267" s="28" t="s">
        <v>345</v>
      </c>
      <c r="R267" s="29">
        <f>LN(F267+1)/LN(MAX($F$10:$F$511)+1)*100</f>
        <v>6.987890304757113</v>
      </c>
      <c r="S267" s="29">
        <f>IF(H267=0,0,(K267*0.5+L267*0.5)*100)</f>
        <v>0</v>
      </c>
      <c r="T267" s="29">
        <f>IF(M267="",0,MIN(100,M267/MAX($M$10:$M$511)*100))</f>
        <v>1.3360053440213761E-2</v>
      </c>
      <c r="U267" s="29">
        <f>MIN(100,IF(O267="Yes",50,0)+IF(N267="Yes",30,0)+IF(P267="Yes",20,0))</f>
        <v>50</v>
      </c>
      <c r="V267" s="30">
        <f>ROUND(U267*$C$3+S267*$C$4+T267*$C$5+R267*$C$6,1)</f>
        <v>18.600000000000001</v>
      </c>
      <c r="W267" s="9" t="s">
        <v>451</v>
      </c>
    </row>
    <row r="268" spans="1:23" ht="21.75" customHeight="1" x14ac:dyDescent="0.2">
      <c r="A268" s="23">
        <v>47</v>
      </c>
      <c r="B268" s="9" t="s">
        <v>208</v>
      </c>
      <c r="C268" s="9" t="s">
        <v>457</v>
      </c>
      <c r="D268" s="9" t="s">
        <v>458</v>
      </c>
      <c r="E268" s="9" t="s">
        <v>459</v>
      </c>
      <c r="F268" s="24">
        <v>1</v>
      </c>
      <c r="G268" s="27"/>
      <c r="H268" s="24">
        <v>1</v>
      </c>
      <c r="I268" s="25">
        <v>31.4</v>
      </c>
      <c r="J268" s="25">
        <v>31.4</v>
      </c>
      <c r="K268" s="26">
        <v>0</v>
      </c>
      <c r="L268" s="26">
        <v>0</v>
      </c>
      <c r="M268" s="27"/>
      <c r="N268" s="28" t="s">
        <v>344</v>
      </c>
      <c r="O268" s="28" t="s">
        <v>345</v>
      </c>
      <c r="P268" s="28" t="s">
        <v>344</v>
      </c>
      <c r="Q268" s="28" t="s">
        <v>345</v>
      </c>
      <c r="R268" s="29">
        <f>LN(F268+1)/LN(MAX($F$10:$F$511)+1)*100</f>
        <v>6.987890304757113</v>
      </c>
      <c r="S268" s="29">
        <f>IF(H268=0,0,(K268*0.5+L268*0.5)*100)</f>
        <v>0</v>
      </c>
      <c r="T268" s="29">
        <f>IF(M268="",0,MIN(100,M268/MAX($M$10:$M$511)*100))</f>
        <v>0</v>
      </c>
      <c r="U268" s="29">
        <f>MIN(100,IF(O268="Yes",50,0)+IF(N268="Yes",30,0)+IF(P268="Yes",20,0))</f>
        <v>50</v>
      </c>
      <c r="V268" s="30">
        <f>ROUND(U268*$C$3+S268*$C$4+T268*$C$5+R268*$C$6,1)</f>
        <v>18.5</v>
      </c>
      <c r="W268" s="9" t="s">
        <v>406</v>
      </c>
    </row>
    <row r="269" spans="1:23" ht="21.75" customHeight="1" x14ac:dyDescent="0.2">
      <c r="A269" s="23">
        <v>48</v>
      </c>
      <c r="B269" s="9" t="s">
        <v>460</v>
      </c>
      <c r="C269" s="9" t="s">
        <v>461</v>
      </c>
      <c r="D269" s="9"/>
      <c r="E269" s="9" t="s">
        <v>462</v>
      </c>
      <c r="F269" s="24">
        <v>1</v>
      </c>
      <c r="G269" s="24">
        <v>3</v>
      </c>
      <c r="H269" s="24">
        <v>1</v>
      </c>
      <c r="I269" s="25">
        <v>0</v>
      </c>
      <c r="J269" s="25">
        <v>0</v>
      </c>
      <c r="K269" s="26">
        <v>0</v>
      </c>
      <c r="L269" s="26">
        <v>0</v>
      </c>
      <c r="M269" s="27"/>
      <c r="N269" s="28" t="s">
        <v>344</v>
      </c>
      <c r="O269" s="28" t="s">
        <v>345</v>
      </c>
      <c r="P269" s="28" t="s">
        <v>344</v>
      </c>
      <c r="Q269" s="28" t="s">
        <v>345</v>
      </c>
      <c r="R269" s="29">
        <f>LN(F269+1)/LN(MAX($F$10:$F$511)+1)*100</f>
        <v>6.987890304757113</v>
      </c>
      <c r="S269" s="29">
        <f>IF(H269=0,0,(K269*0.5+L269*0.5)*100)</f>
        <v>0</v>
      </c>
      <c r="T269" s="29">
        <f>IF(M269="",0,MIN(100,M269/MAX($M$10:$M$511)*100))</f>
        <v>0</v>
      </c>
      <c r="U269" s="29">
        <f>MIN(100,IF(O269="Yes",50,0)+IF(N269="Yes",30,0)+IF(P269="Yes",20,0))</f>
        <v>50</v>
      </c>
      <c r="V269" s="30">
        <f>ROUND(U269*$C$3+S269*$C$4+T269*$C$5+R269*$C$6,1)</f>
        <v>18.5</v>
      </c>
      <c r="W269" s="9" t="s">
        <v>442</v>
      </c>
    </row>
    <row r="270" spans="1:23" ht="21.75" customHeight="1" x14ac:dyDescent="0.2">
      <c r="A270" s="23">
        <v>49</v>
      </c>
      <c r="B270" s="9" t="s">
        <v>392</v>
      </c>
      <c r="C270" s="9" t="s">
        <v>463</v>
      </c>
      <c r="D270" s="9"/>
      <c r="E270" s="9" t="s">
        <v>426</v>
      </c>
      <c r="F270" s="24">
        <v>1</v>
      </c>
      <c r="G270" s="24">
        <v>1</v>
      </c>
      <c r="H270" s="24">
        <v>1</v>
      </c>
      <c r="I270" s="25">
        <v>27.9</v>
      </c>
      <c r="J270" s="25">
        <v>27.9</v>
      </c>
      <c r="K270" s="26">
        <v>0</v>
      </c>
      <c r="L270" s="26">
        <v>0</v>
      </c>
      <c r="M270" s="27"/>
      <c r="N270" s="28" t="s">
        <v>344</v>
      </c>
      <c r="O270" s="28" t="s">
        <v>345</v>
      </c>
      <c r="P270" s="28" t="s">
        <v>344</v>
      </c>
      <c r="Q270" s="28" t="s">
        <v>345</v>
      </c>
      <c r="R270" s="29">
        <f>LN(F270+1)/LN(MAX($F$10:$F$511)+1)*100</f>
        <v>6.987890304757113</v>
      </c>
      <c r="S270" s="29">
        <f>IF(H270=0,0,(K270*0.5+L270*0.5)*100)</f>
        <v>0</v>
      </c>
      <c r="T270" s="29">
        <f>IF(M270="",0,MIN(100,M270/MAX($M$10:$M$511)*100))</f>
        <v>0</v>
      </c>
      <c r="U270" s="29">
        <f>MIN(100,IF(O270="Yes",50,0)+IF(N270="Yes",30,0)+IF(P270="Yes",20,0))</f>
        <v>50</v>
      </c>
      <c r="V270" s="30">
        <f>ROUND(U270*$C$3+S270*$C$4+T270*$C$5+R270*$C$6,1)</f>
        <v>18.5</v>
      </c>
      <c r="W270" s="9" t="s">
        <v>442</v>
      </c>
    </row>
    <row r="271" spans="1:23" ht="21.75" customHeight="1" x14ac:dyDescent="0.2">
      <c r="A271" s="23">
        <v>50</v>
      </c>
      <c r="B271" s="9" t="s">
        <v>360</v>
      </c>
      <c r="C271" s="9" t="s">
        <v>361</v>
      </c>
      <c r="D271" s="9" t="s">
        <v>464</v>
      </c>
      <c r="E271" s="9" t="s">
        <v>363</v>
      </c>
      <c r="F271" s="24">
        <v>1</v>
      </c>
      <c r="G271" s="24">
        <v>11</v>
      </c>
      <c r="H271" s="24">
        <v>1</v>
      </c>
      <c r="I271" s="25">
        <v>0.5</v>
      </c>
      <c r="J271" s="25">
        <v>0.5</v>
      </c>
      <c r="K271" s="26">
        <v>0</v>
      </c>
      <c r="L271" s="26">
        <v>0</v>
      </c>
      <c r="M271" s="27"/>
      <c r="N271" s="28" t="s">
        <v>344</v>
      </c>
      <c r="O271" s="28" t="s">
        <v>345</v>
      </c>
      <c r="P271" s="28" t="s">
        <v>344</v>
      </c>
      <c r="Q271" s="28" t="s">
        <v>345</v>
      </c>
      <c r="R271" s="29">
        <f>LN(F271+1)/LN(MAX($F$10:$F$511)+1)*100</f>
        <v>6.987890304757113</v>
      </c>
      <c r="S271" s="29">
        <f>IF(H271=0,0,(K271*0.5+L271*0.5)*100)</f>
        <v>0</v>
      </c>
      <c r="T271" s="29">
        <f>IF(M271="",0,MIN(100,M271/MAX($M$10:$M$511)*100))</f>
        <v>0</v>
      </c>
      <c r="U271" s="29">
        <f>MIN(100,IF(O271="Yes",50,0)+IF(N271="Yes",30,0)+IF(P271="Yes",20,0))</f>
        <v>50</v>
      </c>
      <c r="V271" s="30">
        <f>ROUND(U271*$C$3+S271*$C$4+T271*$C$5+R271*$C$6,1)</f>
        <v>18.5</v>
      </c>
      <c r="W271" s="9" t="s">
        <v>346</v>
      </c>
    </row>
    <row r="272" spans="1:23" ht="21.75" customHeight="1" x14ac:dyDescent="0.2">
      <c r="A272" s="23">
        <v>51</v>
      </c>
      <c r="B272" s="9" t="s">
        <v>280</v>
      </c>
      <c r="C272" s="9" t="s">
        <v>465</v>
      </c>
      <c r="D272" s="9"/>
      <c r="E272" s="9" t="s">
        <v>456</v>
      </c>
      <c r="F272" s="24">
        <v>1</v>
      </c>
      <c r="G272" s="24">
        <v>1</v>
      </c>
      <c r="H272" s="24">
        <v>1</v>
      </c>
      <c r="I272" s="25">
        <v>50.4</v>
      </c>
      <c r="J272" s="25">
        <v>50.4</v>
      </c>
      <c r="K272" s="26">
        <v>0</v>
      </c>
      <c r="L272" s="26">
        <v>0</v>
      </c>
      <c r="M272" s="27"/>
      <c r="N272" s="28" t="s">
        <v>344</v>
      </c>
      <c r="O272" s="28" t="s">
        <v>345</v>
      </c>
      <c r="P272" s="28" t="s">
        <v>344</v>
      </c>
      <c r="Q272" s="28" t="s">
        <v>345</v>
      </c>
      <c r="R272" s="29">
        <f>LN(F272+1)/LN(MAX($F$10:$F$511)+1)*100</f>
        <v>6.987890304757113</v>
      </c>
      <c r="S272" s="29">
        <f>IF(H272=0,0,(K272*0.5+L272*0.5)*100)</f>
        <v>0</v>
      </c>
      <c r="T272" s="29">
        <f>IF(M272="",0,MIN(100,M272/MAX($M$10:$M$511)*100))</f>
        <v>0</v>
      </c>
      <c r="U272" s="29">
        <f>MIN(100,IF(O272="Yes",50,0)+IF(N272="Yes",30,0)+IF(P272="Yes",20,0))</f>
        <v>50</v>
      </c>
      <c r="V272" s="30">
        <f>ROUND(U272*$C$3+S272*$C$4+T272*$C$5+R272*$C$6,1)</f>
        <v>18.5</v>
      </c>
      <c r="W272" s="9" t="s">
        <v>442</v>
      </c>
    </row>
    <row r="273" spans="1:23" ht="21.75" customHeight="1" x14ac:dyDescent="0.2">
      <c r="A273" s="23">
        <v>311</v>
      </c>
      <c r="B273" s="9" t="s">
        <v>185</v>
      </c>
      <c r="C273" s="9" t="s">
        <v>778</v>
      </c>
      <c r="D273" s="9" t="s">
        <v>195</v>
      </c>
      <c r="E273" s="9" t="s">
        <v>487</v>
      </c>
      <c r="F273" s="24">
        <v>1064</v>
      </c>
      <c r="G273" s="24">
        <v>579</v>
      </c>
      <c r="H273" s="24">
        <v>1064</v>
      </c>
      <c r="I273" s="25">
        <v>0</v>
      </c>
      <c r="J273" s="25">
        <v>1</v>
      </c>
      <c r="K273" s="26">
        <v>0</v>
      </c>
      <c r="L273" s="26">
        <v>0</v>
      </c>
      <c r="M273" s="24">
        <v>228</v>
      </c>
      <c r="N273" s="28" t="s">
        <v>345</v>
      </c>
      <c r="O273" s="28" t="s">
        <v>345</v>
      </c>
      <c r="P273" s="28" t="s">
        <v>344</v>
      </c>
      <c r="Q273" s="28" t="s">
        <v>345</v>
      </c>
      <c r="R273" s="29">
        <f>LN(F273+1)/LN(MAX($F$10:$F$511)+1)*100</f>
        <v>70.274681187894245</v>
      </c>
      <c r="S273" s="29">
        <f>IF(H273=0,0,(K273*0.5+L273*0.5)*100)</f>
        <v>0</v>
      </c>
      <c r="T273" s="29">
        <f>IF(M273="",0,MIN(100,M273/MAX($M$10:$M$511)*100))</f>
        <v>3.0460921843687374</v>
      </c>
      <c r="U273" s="29">
        <f>MIN(100,IF(O273="Yes",50,0)+IF(N273="Yes",30,0)+IF(P273="Yes",20,0))</f>
        <v>20</v>
      </c>
      <c r="V273" s="30">
        <f>ROUND(U273*$C$3+S273*$C$4+T273*$C$5+R273*$C$6,1)</f>
        <v>18.3</v>
      </c>
      <c r="W273" s="9"/>
    </row>
    <row r="274" spans="1:23" ht="32.25" customHeight="1" x14ac:dyDescent="0.2">
      <c r="A274" s="23">
        <v>312</v>
      </c>
      <c r="B274" s="9" t="s">
        <v>280</v>
      </c>
      <c r="C274" s="9" t="s">
        <v>700</v>
      </c>
      <c r="D274" s="9" t="s">
        <v>743</v>
      </c>
      <c r="E274" s="9" t="s">
        <v>489</v>
      </c>
      <c r="F274" s="24">
        <v>14</v>
      </c>
      <c r="G274" s="24">
        <v>42</v>
      </c>
      <c r="H274" s="24">
        <v>14</v>
      </c>
      <c r="I274" s="25">
        <v>21.2</v>
      </c>
      <c r="J274" s="25">
        <v>102.8</v>
      </c>
      <c r="K274" s="26">
        <v>0.28599999999999998</v>
      </c>
      <c r="L274" s="26">
        <v>0.28599999999999998</v>
      </c>
      <c r="M274" s="24">
        <v>2</v>
      </c>
      <c r="N274" s="28" t="s">
        <v>345</v>
      </c>
      <c r="O274" s="28" t="s">
        <v>345</v>
      </c>
      <c r="P274" s="28" t="s">
        <v>344</v>
      </c>
      <c r="Q274" s="28" t="s">
        <v>345</v>
      </c>
      <c r="R274" s="29">
        <f>LN(F274+1)/LN(MAX($F$10:$F$511)+1)*100</f>
        <v>27.300922914799507</v>
      </c>
      <c r="S274" s="29">
        <f>IF(H274=0,0,(K274*0.5+L274*0.5)*100)</f>
        <v>28.599999999999998</v>
      </c>
      <c r="T274" s="29">
        <f>IF(M274="",0,MIN(100,M274/MAX($M$10:$M$511)*100))</f>
        <v>2.6720106880427523E-2</v>
      </c>
      <c r="U274" s="29">
        <f>MIN(100,IF(O274="Yes",50,0)+IF(N274="Yes",30,0)+IF(P274="Yes",20,0))</f>
        <v>20</v>
      </c>
      <c r="V274" s="30">
        <f>ROUND(U274*$C$3+S274*$C$4+T274*$C$5+R274*$C$6,1)</f>
        <v>18.3</v>
      </c>
      <c r="W274" s="9"/>
    </row>
    <row r="275" spans="1:23" ht="21.75" customHeight="1" x14ac:dyDescent="0.2">
      <c r="A275" s="23">
        <v>313</v>
      </c>
      <c r="B275" s="9" t="s">
        <v>510</v>
      </c>
      <c r="C275" s="9" t="s">
        <v>779</v>
      </c>
      <c r="D275" s="9"/>
      <c r="E275" s="9" t="s">
        <v>780</v>
      </c>
      <c r="F275" s="24">
        <v>4</v>
      </c>
      <c r="G275" s="24">
        <v>13</v>
      </c>
      <c r="H275" s="24">
        <v>4</v>
      </c>
      <c r="I275" s="25">
        <v>180.5</v>
      </c>
      <c r="J275" s="25">
        <v>211</v>
      </c>
      <c r="K275" s="26">
        <v>0.75</v>
      </c>
      <c r="L275" s="26">
        <v>0.5</v>
      </c>
      <c r="M275" s="24">
        <v>44</v>
      </c>
      <c r="N275" s="31"/>
      <c r="O275" s="28" t="s">
        <v>345</v>
      </c>
      <c r="P275" s="28"/>
      <c r="Q275" s="28" t="s">
        <v>345</v>
      </c>
      <c r="R275" s="29">
        <f>LN(F275+1)/LN(MAX($F$10:$F$511)+1)*100</f>
        <v>16.225378822606551</v>
      </c>
      <c r="S275" s="29">
        <f>IF(H275=0,0,(K275*0.5+L275*0.5)*100)</f>
        <v>62.5</v>
      </c>
      <c r="T275" s="29">
        <f>IF(M275="",0,MIN(100,M275/MAX($M$10:$M$511)*100))</f>
        <v>0.58784235136940555</v>
      </c>
      <c r="U275" s="29">
        <f>MIN(100,IF(O275="Yes",50,0)+IF(N275="Yes",30,0)+IF(P275="Yes",20,0))</f>
        <v>0</v>
      </c>
      <c r="V275" s="30">
        <f>ROUND(U275*$C$3+S275*$C$4+T275*$C$5+R275*$C$6,1)</f>
        <v>18.2</v>
      </c>
      <c r="W275" s="9" t="s">
        <v>781</v>
      </c>
    </row>
    <row r="276" spans="1:23" ht="21.75" customHeight="1" x14ac:dyDescent="0.2">
      <c r="A276" s="23">
        <v>314</v>
      </c>
      <c r="B276" s="9" t="s">
        <v>384</v>
      </c>
      <c r="C276" s="9" t="s">
        <v>782</v>
      </c>
      <c r="D276" s="9" t="s">
        <v>500</v>
      </c>
      <c r="E276" s="9" t="s">
        <v>501</v>
      </c>
      <c r="F276" s="24">
        <v>3</v>
      </c>
      <c r="G276" s="24">
        <v>10</v>
      </c>
      <c r="H276" s="24">
        <v>3</v>
      </c>
      <c r="I276" s="25">
        <v>54.8</v>
      </c>
      <c r="J276" s="25">
        <v>140.19999999999999</v>
      </c>
      <c r="K276" s="26">
        <v>0.33300000000000002</v>
      </c>
      <c r="L276" s="26">
        <v>0.33300000000000002</v>
      </c>
      <c r="M276" s="24">
        <v>143</v>
      </c>
      <c r="N276" s="28" t="s">
        <v>345</v>
      </c>
      <c r="O276" s="28" t="s">
        <v>345</v>
      </c>
      <c r="P276" s="28" t="s">
        <v>344</v>
      </c>
      <c r="Q276" s="28" t="s">
        <v>345</v>
      </c>
      <c r="R276" s="29">
        <f>LN(F276+1)/LN(MAX($F$10:$F$511)+1)*100</f>
        <v>13.975780609514226</v>
      </c>
      <c r="S276" s="29">
        <f>IF(H276=0,0,(K276*0.5+L276*0.5)*100)</f>
        <v>33.300000000000004</v>
      </c>
      <c r="T276" s="29">
        <f>IF(M276="",0,MIN(100,M276/MAX($M$10:$M$511)*100))</f>
        <v>1.9104876419505676</v>
      </c>
      <c r="U276" s="29">
        <f>MIN(100,IF(O276="Yes",50,0)+IF(N276="Yes",30,0)+IF(P276="Yes",20,0))</f>
        <v>20</v>
      </c>
      <c r="V276" s="30">
        <f>ROUND(U276*$C$3+S276*$C$4+T276*$C$5+R276*$C$6,1)</f>
        <v>17.899999999999999</v>
      </c>
      <c r="W276" s="9" t="s">
        <v>388</v>
      </c>
    </row>
    <row r="277" spans="1:23" ht="21.75" customHeight="1" x14ac:dyDescent="0.2">
      <c r="A277" s="23">
        <v>315</v>
      </c>
      <c r="B277" s="9" t="s">
        <v>248</v>
      </c>
      <c r="C277" s="9" t="s">
        <v>783</v>
      </c>
      <c r="D277" s="9" t="s">
        <v>784</v>
      </c>
      <c r="E277" s="9" t="s">
        <v>558</v>
      </c>
      <c r="F277" s="24">
        <v>44</v>
      </c>
      <c r="G277" s="24">
        <v>37</v>
      </c>
      <c r="H277" s="24">
        <v>44</v>
      </c>
      <c r="I277" s="25">
        <v>114.6</v>
      </c>
      <c r="J277" s="25">
        <v>155.19999999999999</v>
      </c>
      <c r="K277" s="26">
        <v>0.68200000000000005</v>
      </c>
      <c r="L277" s="26">
        <v>0.27300000000000002</v>
      </c>
      <c r="M277" s="24">
        <v>45</v>
      </c>
      <c r="N277" s="31"/>
      <c r="O277" s="28" t="s">
        <v>345</v>
      </c>
      <c r="P277" s="28"/>
      <c r="Q277" s="28" t="s">
        <v>344</v>
      </c>
      <c r="R277" s="29">
        <f>LN(F277+1)/LN(MAX($F$10:$F$511)+1)*100</f>
        <v>38.376467006992463</v>
      </c>
      <c r="S277" s="29">
        <f>IF(H277=0,0,(K277*0.5+L277*0.5)*100)</f>
        <v>47.75</v>
      </c>
      <c r="T277" s="29">
        <f>IF(M277="",0,MIN(100,M277/MAX($M$10:$M$511)*100))</f>
        <v>0.60120240480961928</v>
      </c>
      <c r="U277" s="29">
        <f>MIN(100,IF(O277="Yes",50,0)+IF(N277="Yes",30,0)+IF(P277="Yes",20,0))</f>
        <v>0</v>
      </c>
      <c r="V277" s="30">
        <f>ROUND(U277*$C$3+S277*$C$4+T277*$C$5+R277*$C$6,1)</f>
        <v>17.8</v>
      </c>
      <c r="W277" s="9" t="s">
        <v>370</v>
      </c>
    </row>
    <row r="278" spans="1:23" ht="21.75" customHeight="1" x14ac:dyDescent="0.2">
      <c r="A278" s="23">
        <v>316</v>
      </c>
      <c r="B278" s="9" t="s">
        <v>248</v>
      </c>
      <c r="C278" s="9" t="s">
        <v>785</v>
      </c>
      <c r="D278" s="9"/>
      <c r="E278" s="9" t="s">
        <v>558</v>
      </c>
      <c r="F278" s="24">
        <v>29</v>
      </c>
      <c r="G278" s="24">
        <v>15</v>
      </c>
      <c r="H278" s="24">
        <v>29</v>
      </c>
      <c r="I278" s="25">
        <v>130.9</v>
      </c>
      <c r="J278" s="25">
        <v>140.19999999999999</v>
      </c>
      <c r="K278" s="26">
        <v>0.69</v>
      </c>
      <c r="L278" s="26">
        <v>0.31</v>
      </c>
      <c r="M278" s="24">
        <v>11</v>
      </c>
      <c r="N278" s="31"/>
      <c r="O278" s="28" t="s">
        <v>345</v>
      </c>
      <c r="P278" s="28"/>
      <c r="Q278" s="28" t="s">
        <v>345</v>
      </c>
      <c r="R278" s="29">
        <f>LN(F278+1)/LN(MAX($F$10:$F$511)+1)*100</f>
        <v>34.288813219556623</v>
      </c>
      <c r="S278" s="29">
        <f>IF(H278=0,0,(K278*0.5+L278*0.5)*100)</f>
        <v>50</v>
      </c>
      <c r="T278" s="29">
        <f>IF(M278="",0,MIN(100,M278/MAX($M$10:$M$511)*100))</f>
        <v>0.14696058784235139</v>
      </c>
      <c r="U278" s="29">
        <f>MIN(100,IF(O278="Yes",50,0)+IF(N278="Yes",30,0)+IF(P278="Yes",20,0))</f>
        <v>0</v>
      </c>
      <c r="V278" s="30">
        <f>ROUND(U278*$C$3+S278*$C$4+T278*$C$5+R278*$C$6,1)</f>
        <v>17.7</v>
      </c>
      <c r="W278" s="9" t="s">
        <v>583</v>
      </c>
    </row>
    <row r="279" spans="1:23" ht="32.25" customHeight="1" x14ac:dyDescent="0.2">
      <c r="A279" s="23">
        <v>317</v>
      </c>
      <c r="B279" s="9" t="s">
        <v>280</v>
      </c>
      <c r="C279" s="9" t="s">
        <v>618</v>
      </c>
      <c r="D279" s="9" t="s">
        <v>523</v>
      </c>
      <c r="E279" s="9" t="s">
        <v>489</v>
      </c>
      <c r="F279" s="24">
        <v>3</v>
      </c>
      <c r="G279" s="24">
        <v>59</v>
      </c>
      <c r="H279" s="24">
        <v>3</v>
      </c>
      <c r="I279" s="25">
        <v>97</v>
      </c>
      <c r="J279" s="25">
        <v>116.9</v>
      </c>
      <c r="K279" s="26">
        <v>0.66700000000000004</v>
      </c>
      <c r="L279" s="26">
        <v>0</v>
      </c>
      <c r="M279" s="24">
        <v>37</v>
      </c>
      <c r="N279" s="28" t="s">
        <v>345</v>
      </c>
      <c r="O279" s="28" t="s">
        <v>345</v>
      </c>
      <c r="P279" s="28" t="s">
        <v>344</v>
      </c>
      <c r="Q279" s="28" t="s">
        <v>345</v>
      </c>
      <c r="R279" s="29">
        <f>LN(F279+1)/LN(MAX($F$10:$F$511)+1)*100</f>
        <v>13.975780609514226</v>
      </c>
      <c r="S279" s="29">
        <f>IF(H279=0,0,(K279*0.5+L279*0.5)*100)</f>
        <v>33.35</v>
      </c>
      <c r="T279" s="29">
        <f>IF(M279="",0,MIN(100,M279/MAX($M$10:$M$511)*100))</f>
        <v>0.49432197728790916</v>
      </c>
      <c r="U279" s="29">
        <f>MIN(100,IF(O279="Yes",50,0)+IF(N279="Yes",30,0)+IF(P279="Yes",20,0))</f>
        <v>20</v>
      </c>
      <c r="V279" s="30">
        <f>ROUND(U279*$C$3+S279*$C$4+T279*$C$5+R279*$C$6,1)</f>
        <v>17.600000000000001</v>
      </c>
      <c r="W279" s="9" t="s">
        <v>388</v>
      </c>
    </row>
    <row r="280" spans="1:23" ht="21.75" customHeight="1" x14ac:dyDescent="0.2">
      <c r="A280" s="23">
        <v>318</v>
      </c>
      <c r="B280" s="9" t="s">
        <v>366</v>
      </c>
      <c r="C280" s="9" t="s">
        <v>786</v>
      </c>
      <c r="D280" s="9"/>
      <c r="E280" s="9" t="s">
        <v>497</v>
      </c>
      <c r="F280" s="24">
        <v>26</v>
      </c>
      <c r="G280" s="24">
        <v>33</v>
      </c>
      <c r="H280" s="24">
        <v>26</v>
      </c>
      <c r="I280" s="25">
        <v>136.9</v>
      </c>
      <c r="J280" s="25">
        <v>176.2</v>
      </c>
      <c r="K280" s="26">
        <v>0.69199999999999995</v>
      </c>
      <c r="L280" s="26">
        <v>0.308</v>
      </c>
      <c r="M280" s="24">
        <v>13</v>
      </c>
      <c r="N280" s="31"/>
      <c r="O280" s="28" t="s">
        <v>345</v>
      </c>
      <c r="P280" s="28"/>
      <c r="Q280" s="28" t="s">
        <v>345</v>
      </c>
      <c r="R280" s="29">
        <f>LN(F280+1)/LN(MAX($F$10:$F$511)+1)*100</f>
        <v>33.226632276578869</v>
      </c>
      <c r="S280" s="29">
        <f>IF(H280=0,0,(K280*0.5+L280*0.5)*100)</f>
        <v>50</v>
      </c>
      <c r="T280" s="29">
        <f>IF(M280="",0,MIN(100,M280/MAX($M$10:$M$511)*100))</f>
        <v>0.17368069472277889</v>
      </c>
      <c r="U280" s="29">
        <f>MIN(100,IF(O280="Yes",50,0)+IF(N280="Yes",30,0)+IF(P280="Yes",20,0))</f>
        <v>0</v>
      </c>
      <c r="V280" s="30">
        <f>ROUND(U280*$C$3+S280*$C$4+T280*$C$5+R280*$C$6,1)</f>
        <v>17.5</v>
      </c>
      <c r="W280" s="9" t="s">
        <v>583</v>
      </c>
    </row>
    <row r="281" spans="1:23" ht="21.75" customHeight="1" x14ac:dyDescent="0.2">
      <c r="A281" s="23">
        <v>319</v>
      </c>
      <c r="B281" s="9" t="s">
        <v>292</v>
      </c>
      <c r="C281" s="9" t="s">
        <v>521</v>
      </c>
      <c r="D281" s="9" t="s">
        <v>787</v>
      </c>
      <c r="E281" s="9" t="s">
        <v>357</v>
      </c>
      <c r="F281" s="24">
        <v>3</v>
      </c>
      <c r="G281" s="24">
        <v>24</v>
      </c>
      <c r="H281" s="24">
        <v>3</v>
      </c>
      <c r="I281" s="25">
        <v>101.6</v>
      </c>
      <c r="J281" s="25">
        <v>97.4</v>
      </c>
      <c r="K281" s="26">
        <v>0.66700000000000004</v>
      </c>
      <c r="L281" s="26">
        <v>0</v>
      </c>
      <c r="M281" s="24">
        <v>23</v>
      </c>
      <c r="N281" s="28" t="s">
        <v>345</v>
      </c>
      <c r="O281" s="28" t="s">
        <v>345</v>
      </c>
      <c r="P281" s="28" t="s">
        <v>344</v>
      </c>
      <c r="Q281" s="28" t="s">
        <v>345</v>
      </c>
      <c r="R281" s="29">
        <f>LN(F281+1)/LN(MAX($F$10:$F$511)+1)*100</f>
        <v>13.975780609514226</v>
      </c>
      <c r="S281" s="29">
        <f>IF(H281=0,0,(K281*0.5+L281*0.5)*100)</f>
        <v>33.35</v>
      </c>
      <c r="T281" s="29">
        <f>IF(M281="",0,MIN(100,M281/MAX($M$10:$M$511)*100))</f>
        <v>0.30728122912491651</v>
      </c>
      <c r="U281" s="29">
        <f>MIN(100,IF(O281="Yes",50,0)+IF(N281="Yes",30,0)+IF(P281="Yes",20,0))</f>
        <v>20</v>
      </c>
      <c r="V281" s="30">
        <f>ROUND(U281*$C$3+S281*$C$4+T281*$C$5+R281*$C$6,1)</f>
        <v>17.5</v>
      </c>
      <c r="W281" s="9" t="s">
        <v>388</v>
      </c>
    </row>
    <row r="282" spans="1:23" ht="32.25" customHeight="1" x14ac:dyDescent="0.2">
      <c r="A282" s="23">
        <v>320</v>
      </c>
      <c r="B282" s="9" t="s">
        <v>280</v>
      </c>
      <c r="C282" s="9" t="s">
        <v>695</v>
      </c>
      <c r="D282" s="9" t="s">
        <v>524</v>
      </c>
      <c r="E282" s="9" t="s">
        <v>424</v>
      </c>
      <c r="F282" s="24">
        <v>3</v>
      </c>
      <c r="G282" s="24">
        <v>11</v>
      </c>
      <c r="H282" s="24">
        <v>3</v>
      </c>
      <c r="I282" s="25">
        <v>76.900000000000006</v>
      </c>
      <c r="J282" s="25">
        <v>128.6</v>
      </c>
      <c r="K282" s="26">
        <v>0.33300000000000002</v>
      </c>
      <c r="L282" s="26">
        <v>0.33300000000000002</v>
      </c>
      <c r="M282" s="24">
        <v>10</v>
      </c>
      <c r="N282" s="28" t="s">
        <v>345</v>
      </c>
      <c r="O282" s="28" t="s">
        <v>345</v>
      </c>
      <c r="P282" s="28" t="s">
        <v>344</v>
      </c>
      <c r="Q282" s="28" t="s">
        <v>345</v>
      </c>
      <c r="R282" s="29">
        <f>LN(F282+1)/LN(MAX($F$10:$F$511)+1)*100</f>
        <v>13.975780609514226</v>
      </c>
      <c r="S282" s="29">
        <f>IF(H282=0,0,(K282*0.5+L282*0.5)*100)</f>
        <v>33.300000000000004</v>
      </c>
      <c r="T282" s="29">
        <f>IF(M282="",0,MIN(100,M282/MAX($M$10:$M$511)*100))</f>
        <v>0.13360053440213762</v>
      </c>
      <c r="U282" s="29">
        <f>MIN(100,IF(O282="Yes",50,0)+IF(N282="Yes",30,0)+IF(P282="Yes",20,0))</f>
        <v>20</v>
      </c>
      <c r="V282" s="30">
        <f>ROUND(U282*$C$3+S282*$C$4+T282*$C$5+R282*$C$6,1)</f>
        <v>17.5</v>
      </c>
      <c r="W282" s="9" t="s">
        <v>388</v>
      </c>
    </row>
    <row r="283" spans="1:23" ht="21.75" customHeight="1" x14ac:dyDescent="0.2">
      <c r="A283" s="23">
        <v>321</v>
      </c>
      <c r="B283" s="9" t="s">
        <v>280</v>
      </c>
      <c r="C283" s="9" t="s">
        <v>724</v>
      </c>
      <c r="D283" s="9" t="s">
        <v>743</v>
      </c>
      <c r="E283" s="9" t="s">
        <v>489</v>
      </c>
      <c r="F283" s="24">
        <v>3</v>
      </c>
      <c r="G283" s="24">
        <v>47</v>
      </c>
      <c r="H283" s="24">
        <v>3</v>
      </c>
      <c r="I283" s="25">
        <v>54.8</v>
      </c>
      <c r="J283" s="25">
        <v>160.30000000000001</v>
      </c>
      <c r="K283" s="26">
        <v>0.33300000000000002</v>
      </c>
      <c r="L283" s="26">
        <v>0.33300000000000002</v>
      </c>
      <c r="M283" s="24">
        <v>3</v>
      </c>
      <c r="N283" s="28" t="s">
        <v>345</v>
      </c>
      <c r="O283" s="28" t="s">
        <v>345</v>
      </c>
      <c r="P283" s="28" t="s">
        <v>344</v>
      </c>
      <c r="Q283" s="28" t="s">
        <v>345</v>
      </c>
      <c r="R283" s="29">
        <f>LN(F283+1)/LN(MAX($F$10:$F$511)+1)*100</f>
        <v>13.975780609514226</v>
      </c>
      <c r="S283" s="29">
        <f>IF(H283=0,0,(K283*0.5+L283*0.5)*100)</f>
        <v>33.300000000000004</v>
      </c>
      <c r="T283" s="29">
        <f>IF(M283="",0,MIN(100,M283/MAX($M$10:$M$511)*100))</f>
        <v>4.0080160320641281E-2</v>
      </c>
      <c r="U283" s="29">
        <f>MIN(100,IF(O283="Yes",50,0)+IF(N283="Yes",30,0)+IF(P283="Yes",20,0))</f>
        <v>20</v>
      </c>
      <c r="V283" s="30">
        <f>ROUND(U283*$C$3+S283*$C$4+T283*$C$5+R283*$C$6,1)</f>
        <v>17.399999999999999</v>
      </c>
      <c r="W283" s="9" t="s">
        <v>451</v>
      </c>
    </row>
    <row r="284" spans="1:23" ht="21.75" customHeight="1" x14ac:dyDescent="0.2">
      <c r="A284" s="23">
        <v>322</v>
      </c>
      <c r="B284" s="9" t="s">
        <v>351</v>
      </c>
      <c r="C284" s="9" t="s">
        <v>788</v>
      </c>
      <c r="D284" s="9" t="s">
        <v>789</v>
      </c>
      <c r="E284" s="9" t="s">
        <v>354</v>
      </c>
      <c r="F284" s="24">
        <v>239</v>
      </c>
      <c r="G284" s="24">
        <v>187</v>
      </c>
      <c r="H284" s="24">
        <v>88</v>
      </c>
      <c r="I284" s="25">
        <v>100.9</v>
      </c>
      <c r="J284" s="25">
        <v>110.9</v>
      </c>
      <c r="K284" s="26">
        <v>0.54500000000000004</v>
      </c>
      <c r="L284" s="26">
        <v>0.14799999999999999</v>
      </c>
      <c r="M284" s="24">
        <v>38</v>
      </c>
      <c r="N284" s="31"/>
      <c r="O284" s="28" t="s">
        <v>345</v>
      </c>
      <c r="P284" s="28"/>
      <c r="Q284" s="28" t="s">
        <v>345</v>
      </c>
      <c r="R284" s="29">
        <f>LN(F284+1)/LN(MAX($F$10:$F$511)+1)*100</f>
        <v>55.252484133827963</v>
      </c>
      <c r="S284" s="29">
        <f>IF(H284=0,0,(K284*0.5+L284*0.5)*100)</f>
        <v>34.650000000000006</v>
      </c>
      <c r="T284" s="29">
        <f>IF(M284="",0,MIN(100,M284/MAX($M$10:$M$511)*100))</f>
        <v>0.5076820307281229</v>
      </c>
      <c r="U284" s="29">
        <f>MIN(100,IF(O284="Yes",50,0)+IF(N284="Yes",30,0)+IF(P284="Yes",20,0))</f>
        <v>0</v>
      </c>
      <c r="V284" s="30">
        <f>ROUND(U284*$C$3+S284*$C$4+T284*$C$5+R284*$C$6,1)</f>
        <v>17.100000000000001</v>
      </c>
      <c r="W284" s="9" t="s">
        <v>652</v>
      </c>
    </row>
    <row r="285" spans="1:23" ht="21.75" customHeight="1" x14ac:dyDescent="0.2">
      <c r="A285" s="23">
        <v>323</v>
      </c>
      <c r="B285" s="9" t="s">
        <v>366</v>
      </c>
      <c r="C285" s="9" t="s">
        <v>790</v>
      </c>
      <c r="D285" s="9" t="s">
        <v>791</v>
      </c>
      <c r="E285" s="9" t="s">
        <v>550</v>
      </c>
      <c r="F285" s="24">
        <v>12</v>
      </c>
      <c r="G285" s="24">
        <v>69</v>
      </c>
      <c r="H285" s="24">
        <v>12</v>
      </c>
      <c r="I285" s="25">
        <v>140.19999999999999</v>
      </c>
      <c r="J285" s="25">
        <v>191.3</v>
      </c>
      <c r="K285" s="26">
        <v>0.58299999999999996</v>
      </c>
      <c r="L285" s="26">
        <v>0.41699999999999998</v>
      </c>
      <c r="M285" s="24">
        <v>57</v>
      </c>
      <c r="N285" s="31"/>
      <c r="O285" s="28" t="s">
        <v>345</v>
      </c>
      <c r="P285" s="28"/>
      <c r="Q285" s="28" t="s">
        <v>345</v>
      </c>
      <c r="R285" s="29">
        <f>LN(F285+1)/LN(MAX($F$10:$F$511)+1)*100</f>
        <v>25.85826682973628</v>
      </c>
      <c r="S285" s="29">
        <f>IF(H285=0,0,(K285*0.5+L285*0.5)*100)</f>
        <v>50</v>
      </c>
      <c r="T285" s="29">
        <f>IF(M285="",0,MIN(100,M285/MAX($M$10:$M$511)*100))</f>
        <v>0.76152304609218435</v>
      </c>
      <c r="U285" s="29">
        <f>MIN(100,IF(O285="Yes",50,0)+IF(N285="Yes",30,0)+IF(P285="Yes",20,0))</f>
        <v>0</v>
      </c>
      <c r="V285" s="30">
        <f>ROUND(U285*$C$3+S285*$C$4+T285*$C$5+R285*$C$6,1)</f>
        <v>16.600000000000001</v>
      </c>
      <c r="W285" s="9" t="s">
        <v>370</v>
      </c>
    </row>
    <row r="286" spans="1:23" ht="21.75" customHeight="1" x14ac:dyDescent="0.2">
      <c r="A286" s="23">
        <v>55</v>
      </c>
      <c r="B286" s="9" t="s">
        <v>292</v>
      </c>
      <c r="C286" s="9" t="s">
        <v>471</v>
      </c>
      <c r="D286" s="9"/>
      <c r="E286" s="9" t="s">
        <v>357</v>
      </c>
      <c r="F286" s="24">
        <v>21</v>
      </c>
      <c r="G286" s="24">
        <v>28</v>
      </c>
      <c r="H286" s="24">
        <v>21</v>
      </c>
      <c r="I286" s="25">
        <v>0.2</v>
      </c>
      <c r="J286" s="25">
        <v>50.3</v>
      </c>
      <c r="K286" s="26">
        <v>0.28599999999999998</v>
      </c>
      <c r="L286" s="26">
        <v>9.5000000000000001E-2</v>
      </c>
      <c r="M286" s="27"/>
      <c r="N286" s="28" t="s">
        <v>345</v>
      </c>
      <c r="O286" s="28" t="s">
        <v>345</v>
      </c>
      <c r="P286" s="28" t="s">
        <v>344</v>
      </c>
      <c r="Q286" s="28" t="s">
        <v>345</v>
      </c>
      <c r="R286" s="29">
        <f>LN(F286+1)/LN(MAX($F$10:$F$511)+1)*100</f>
        <v>31.16201897260289</v>
      </c>
      <c r="S286" s="29">
        <f>IF(H286=0,0,(K286*0.5+L286*0.5)*100)</f>
        <v>19.05</v>
      </c>
      <c r="T286" s="29">
        <f>IF(M286="",0,MIN(100,M286/MAX($M$10:$M$511)*100))</f>
        <v>0</v>
      </c>
      <c r="U286" s="29">
        <f>MIN(100,IF(O286="Yes",50,0)+IF(N286="Yes",30,0)+IF(P286="Yes",20,0))</f>
        <v>20</v>
      </c>
      <c r="V286" s="30">
        <f>ROUND(U286*$C$3+S286*$C$4+T286*$C$5+R286*$C$6,1)</f>
        <v>16.399999999999999</v>
      </c>
      <c r="W286" s="9" t="s">
        <v>375</v>
      </c>
    </row>
    <row r="287" spans="1:23" ht="21.75" customHeight="1" x14ac:dyDescent="0.2">
      <c r="A287" s="23">
        <v>324</v>
      </c>
      <c r="B287" s="9" t="s">
        <v>392</v>
      </c>
      <c r="C287" s="9" t="s">
        <v>792</v>
      </c>
      <c r="D287" s="9"/>
      <c r="E287" s="9" t="s">
        <v>395</v>
      </c>
      <c r="F287" s="24">
        <v>378</v>
      </c>
      <c r="G287" s="24">
        <v>177</v>
      </c>
      <c r="H287" s="24">
        <v>378</v>
      </c>
      <c r="I287" s="25">
        <v>0</v>
      </c>
      <c r="J287" s="25">
        <v>0.8</v>
      </c>
      <c r="K287" s="26">
        <v>3.0000000000000001E-3</v>
      </c>
      <c r="L287" s="26">
        <v>3.0000000000000001E-3</v>
      </c>
      <c r="M287" s="24">
        <v>16</v>
      </c>
      <c r="N287" s="28" t="s">
        <v>345</v>
      </c>
      <c r="O287" s="28" t="s">
        <v>345</v>
      </c>
      <c r="P287" s="28" t="s">
        <v>344</v>
      </c>
      <c r="Q287" s="28" t="s">
        <v>345</v>
      </c>
      <c r="R287" s="29">
        <f>LN(F287+1)/LN(MAX($F$10:$F$511)+1)*100</f>
        <v>59.85864596336129</v>
      </c>
      <c r="S287" s="29">
        <f>IF(H287=0,0,(K287*0.5+L287*0.5)*100)</f>
        <v>0.3</v>
      </c>
      <c r="T287" s="29">
        <f>IF(M287="",0,MIN(100,M287/MAX($M$10:$M$511)*100))</f>
        <v>0.21376085504342018</v>
      </c>
      <c r="U287" s="29">
        <f>MIN(100,IF(O287="Yes",50,0)+IF(N287="Yes",30,0)+IF(P287="Yes",20,0))</f>
        <v>20</v>
      </c>
      <c r="V287" s="30">
        <f>ROUND(U287*$C$3+S287*$C$4+T287*$C$5+R287*$C$6,1)</f>
        <v>16.100000000000001</v>
      </c>
      <c r="W287" s="9" t="s">
        <v>427</v>
      </c>
    </row>
    <row r="288" spans="1:23" ht="21.75" customHeight="1" x14ac:dyDescent="0.2">
      <c r="A288" s="23">
        <v>325</v>
      </c>
      <c r="B288" s="9" t="s">
        <v>366</v>
      </c>
      <c r="C288" s="9" t="s">
        <v>793</v>
      </c>
      <c r="D288" s="9" t="s">
        <v>368</v>
      </c>
      <c r="E288" s="9" t="s">
        <v>369</v>
      </c>
      <c r="F288" s="24">
        <v>20</v>
      </c>
      <c r="G288" s="24">
        <v>81</v>
      </c>
      <c r="H288" s="24">
        <v>20</v>
      </c>
      <c r="I288" s="25">
        <v>100.4</v>
      </c>
      <c r="J288" s="25">
        <v>187.5</v>
      </c>
      <c r="K288" s="26">
        <v>0.55000000000000004</v>
      </c>
      <c r="L288" s="26">
        <v>0.3</v>
      </c>
      <c r="M288" s="24">
        <v>144</v>
      </c>
      <c r="N288" s="31"/>
      <c r="O288" s="28" t="s">
        <v>345</v>
      </c>
      <c r="P288" s="28"/>
      <c r="Q288" s="28" t="s">
        <v>345</v>
      </c>
      <c r="R288" s="29">
        <f>LN(F288+1)/LN(MAX($F$10:$F$511)+1)*100</f>
        <v>30.693032334051452</v>
      </c>
      <c r="S288" s="29">
        <f>IF(H288=0,0,(K288*0.5+L288*0.5)*100)</f>
        <v>42.500000000000007</v>
      </c>
      <c r="T288" s="29">
        <f>IF(M288="",0,MIN(100,M288/MAX($M$10:$M$511)*100))</f>
        <v>1.9238476953907815</v>
      </c>
      <c r="U288" s="29">
        <f>MIN(100,IF(O288="Yes",50,0)+IF(N288="Yes",30,0)+IF(P288="Yes",20,0))</f>
        <v>0</v>
      </c>
      <c r="V288" s="30">
        <f>ROUND(U288*$C$3+S288*$C$4+T288*$C$5+R288*$C$6,1)</f>
        <v>15.7</v>
      </c>
      <c r="W288" s="9" t="s">
        <v>370</v>
      </c>
    </row>
    <row r="289" spans="1:23" ht="21.75" customHeight="1" x14ac:dyDescent="0.2">
      <c r="A289" s="23">
        <v>326</v>
      </c>
      <c r="B289" s="9" t="s">
        <v>366</v>
      </c>
      <c r="C289" s="9" t="s">
        <v>794</v>
      </c>
      <c r="D289" s="9" t="s">
        <v>795</v>
      </c>
      <c r="E289" s="9" t="s">
        <v>369</v>
      </c>
      <c r="F289" s="24">
        <v>24</v>
      </c>
      <c r="G289" s="24">
        <v>155</v>
      </c>
      <c r="H289" s="24">
        <v>24</v>
      </c>
      <c r="I289" s="25">
        <v>106.5</v>
      </c>
      <c r="J289" s="25">
        <v>172.5</v>
      </c>
      <c r="K289" s="26">
        <v>0.625</v>
      </c>
      <c r="L289" s="26">
        <v>0.20799999999999999</v>
      </c>
      <c r="M289" s="24">
        <v>58</v>
      </c>
      <c r="N289" s="31"/>
      <c r="O289" s="28" t="s">
        <v>345</v>
      </c>
      <c r="P289" s="28"/>
      <c r="Q289" s="28" t="s">
        <v>345</v>
      </c>
      <c r="R289" s="29">
        <f>LN(F289+1)/LN(MAX($F$10:$F$511)+1)*100</f>
        <v>32.450757645213102</v>
      </c>
      <c r="S289" s="29">
        <f>IF(H289=0,0,(K289*0.5+L289*0.5)*100)</f>
        <v>41.65</v>
      </c>
      <c r="T289" s="29">
        <f>IF(M289="",0,MIN(100,M289/MAX($M$10:$M$511)*100))</f>
        <v>0.77488309953239809</v>
      </c>
      <c r="U289" s="29">
        <f>MIN(100,IF(O289="Yes",50,0)+IF(N289="Yes",30,0)+IF(P289="Yes",20,0))</f>
        <v>0</v>
      </c>
      <c r="V289" s="30">
        <f>ROUND(U289*$C$3+S289*$C$4+T289*$C$5+R289*$C$6,1)</f>
        <v>15.5</v>
      </c>
      <c r="W289" s="9" t="s">
        <v>370</v>
      </c>
    </row>
    <row r="290" spans="1:23" ht="21.75" customHeight="1" x14ac:dyDescent="0.2">
      <c r="A290" s="23">
        <v>327</v>
      </c>
      <c r="B290" s="9" t="s">
        <v>248</v>
      </c>
      <c r="C290" s="9" t="s">
        <v>728</v>
      </c>
      <c r="D290" s="9" t="s">
        <v>796</v>
      </c>
      <c r="E290" s="9" t="s">
        <v>565</v>
      </c>
      <c r="F290" s="24">
        <v>49</v>
      </c>
      <c r="G290" s="24">
        <v>57</v>
      </c>
      <c r="H290" s="24">
        <v>49</v>
      </c>
      <c r="I290" s="25">
        <v>97</v>
      </c>
      <c r="J290" s="25">
        <v>126.2</v>
      </c>
      <c r="K290" s="26">
        <v>0.55100000000000005</v>
      </c>
      <c r="L290" s="26">
        <v>0.20399999999999999</v>
      </c>
      <c r="M290" s="24">
        <v>34</v>
      </c>
      <c r="N290" s="31"/>
      <c r="O290" s="28" t="s">
        <v>345</v>
      </c>
      <c r="P290" s="28"/>
      <c r="Q290" s="28" t="s">
        <v>344</v>
      </c>
      <c r="R290" s="29">
        <f>LN(F290+1)/LN(MAX($F$10:$F$511)+1)*100</f>
        <v>39.438647949970218</v>
      </c>
      <c r="S290" s="29">
        <f>IF(H290=0,0,(K290*0.5+L290*0.5)*100)</f>
        <v>37.75</v>
      </c>
      <c r="T290" s="29">
        <f>IF(M290="",0,MIN(100,M290/MAX($M$10:$M$511)*100))</f>
        <v>0.4542418169672679</v>
      </c>
      <c r="U290" s="29">
        <f>MIN(100,IF(O290="Yes",50,0)+IF(N290="Yes",30,0)+IF(P290="Yes",20,0))</f>
        <v>0</v>
      </c>
      <c r="V290" s="30">
        <f>ROUND(U290*$C$3+S290*$C$4+T290*$C$5+R290*$C$6,1)</f>
        <v>15.5</v>
      </c>
      <c r="W290" s="9" t="s">
        <v>652</v>
      </c>
    </row>
    <row r="291" spans="1:23" ht="32.25" customHeight="1" x14ac:dyDescent="0.2">
      <c r="A291" s="23">
        <v>328</v>
      </c>
      <c r="B291" s="9" t="s">
        <v>416</v>
      </c>
      <c r="C291" s="9" t="s">
        <v>797</v>
      </c>
      <c r="D291" s="9" t="s">
        <v>236</v>
      </c>
      <c r="E291" s="9" t="s">
        <v>767</v>
      </c>
      <c r="F291" s="24">
        <v>6</v>
      </c>
      <c r="G291" s="24">
        <v>6</v>
      </c>
      <c r="H291" s="24">
        <v>6</v>
      </c>
      <c r="I291" s="25">
        <v>116</v>
      </c>
      <c r="J291" s="25">
        <v>150.1</v>
      </c>
      <c r="K291" s="26">
        <v>0.83299999999999996</v>
      </c>
      <c r="L291" s="26">
        <v>0.16700000000000001</v>
      </c>
      <c r="M291" s="24">
        <v>1</v>
      </c>
      <c r="N291" s="31"/>
      <c r="O291" s="28" t="s">
        <v>345</v>
      </c>
      <c r="P291" s="28"/>
      <c r="Q291" s="28" t="s">
        <v>345</v>
      </c>
      <c r="R291" s="29">
        <f>LN(F291+1)/LN(MAX($F$10:$F$511)+1)*100</f>
        <v>19.617488241858492</v>
      </c>
      <c r="S291" s="29">
        <f>IF(H291=0,0,(K291*0.5+L291*0.5)*100)</f>
        <v>50</v>
      </c>
      <c r="T291" s="29">
        <f>IF(M291="",0,MIN(100,M291/MAX($M$10:$M$511)*100))</f>
        <v>1.3360053440213761E-2</v>
      </c>
      <c r="U291" s="29">
        <f>MIN(100,IF(O291="Yes",50,0)+IF(N291="Yes",30,0)+IF(P291="Yes",20,0))</f>
        <v>0</v>
      </c>
      <c r="V291" s="30">
        <f>ROUND(U291*$C$3+S291*$C$4+T291*$C$5+R291*$C$6,1)</f>
        <v>15.4</v>
      </c>
      <c r="W291" s="9" t="s">
        <v>738</v>
      </c>
    </row>
    <row r="292" spans="1:23" ht="32.25" customHeight="1" x14ac:dyDescent="0.2">
      <c r="A292" s="23">
        <v>60</v>
      </c>
      <c r="B292" s="9" t="s">
        <v>476</v>
      </c>
      <c r="C292" s="9" t="s">
        <v>477</v>
      </c>
      <c r="D292" s="9" t="s">
        <v>478</v>
      </c>
      <c r="E292" s="9" t="s">
        <v>479</v>
      </c>
      <c r="F292" s="24">
        <v>194</v>
      </c>
      <c r="G292" s="24">
        <v>109</v>
      </c>
      <c r="H292" s="24">
        <v>194</v>
      </c>
      <c r="I292" s="25">
        <v>0.2</v>
      </c>
      <c r="J292" s="25">
        <v>3.4</v>
      </c>
      <c r="K292" s="26">
        <v>5.0000000000000001E-3</v>
      </c>
      <c r="L292" s="26">
        <v>5.0000000000000001E-3</v>
      </c>
      <c r="M292" s="27"/>
      <c r="N292" s="28" t="s">
        <v>345</v>
      </c>
      <c r="O292" s="28" t="s">
        <v>345</v>
      </c>
      <c r="P292" s="28" t="s">
        <v>344</v>
      </c>
      <c r="Q292" s="28" t="s">
        <v>345</v>
      </c>
      <c r="R292" s="29">
        <f>LN(F292+1)/LN(MAX($F$10:$F$511)+1)*100</f>
        <v>53.159189744535794</v>
      </c>
      <c r="S292" s="29">
        <f>IF(H292=0,0,(K292*0.5+L292*0.5)*100)</f>
        <v>0.5</v>
      </c>
      <c r="T292" s="29">
        <f>IF(M292="",0,MIN(100,M292/MAX($M$10:$M$511)*100))</f>
        <v>0</v>
      </c>
      <c r="U292" s="29">
        <f>MIN(100,IF(O292="Yes",50,0)+IF(N292="Yes",30,0)+IF(P292="Yes",20,0))</f>
        <v>20</v>
      </c>
      <c r="V292" s="30">
        <f>ROUND(U292*$C$3+S292*$C$4+T292*$C$5+R292*$C$6,1)</f>
        <v>15.1</v>
      </c>
      <c r="W292" s="9" t="s">
        <v>379</v>
      </c>
    </row>
    <row r="293" spans="1:23" ht="21.75" customHeight="1" x14ac:dyDescent="0.2">
      <c r="A293" s="23">
        <v>329</v>
      </c>
      <c r="B293" s="9" t="s">
        <v>366</v>
      </c>
      <c r="C293" s="9" t="s">
        <v>794</v>
      </c>
      <c r="D293" s="9" t="s">
        <v>798</v>
      </c>
      <c r="E293" s="9" t="s">
        <v>369</v>
      </c>
      <c r="F293" s="24">
        <v>42</v>
      </c>
      <c r="G293" s="24">
        <v>155</v>
      </c>
      <c r="H293" s="24">
        <v>42</v>
      </c>
      <c r="I293" s="25">
        <v>83.8</v>
      </c>
      <c r="J293" s="25">
        <v>120</v>
      </c>
      <c r="K293" s="26">
        <v>0.47599999999999998</v>
      </c>
      <c r="L293" s="26">
        <v>0.26200000000000001</v>
      </c>
      <c r="M293" s="24">
        <v>58</v>
      </c>
      <c r="N293" s="31"/>
      <c r="O293" s="28" t="s">
        <v>345</v>
      </c>
      <c r="P293" s="28"/>
      <c r="Q293" s="28" t="s">
        <v>345</v>
      </c>
      <c r="R293" s="29">
        <f>LN(F293+1)/LN(MAX($F$10:$F$511)+1)*100</f>
        <v>37.918142870428021</v>
      </c>
      <c r="S293" s="29">
        <f>IF(H293=0,0,(K293*0.5+L293*0.5)*100)</f>
        <v>36.9</v>
      </c>
      <c r="T293" s="29">
        <f>IF(M293="",0,MIN(100,M293/MAX($M$10:$M$511)*100))</f>
        <v>0.77488309953239809</v>
      </c>
      <c r="U293" s="29">
        <f>MIN(100,IF(O293="Yes",50,0)+IF(N293="Yes",30,0)+IF(P293="Yes",20,0))</f>
        <v>0</v>
      </c>
      <c r="V293" s="30">
        <f>ROUND(U293*$C$3+S293*$C$4+T293*$C$5+R293*$C$6,1)</f>
        <v>15.1</v>
      </c>
      <c r="W293" s="9" t="s">
        <v>370</v>
      </c>
    </row>
    <row r="294" spans="1:23" ht="15" customHeight="1" x14ac:dyDescent="0.2">
      <c r="A294" s="23">
        <v>330</v>
      </c>
      <c r="B294" s="9" t="s">
        <v>476</v>
      </c>
      <c r="C294" s="9" t="s">
        <v>799</v>
      </c>
      <c r="D294" s="9" t="s">
        <v>478</v>
      </c>
      <c r="E294" s="9" t="s">
        <v>479</v>
      </c>
      <c r="F294" s="24">
        <v>183</v>
      </c>
      <c r="G294" s="24">
        <v>109</v>
      </c>
      <c r="H294" s="24">
        <v>183</v>
      </c>
      <c r="I294" s="25">
        <v>2.8</v>
      </c>
      <c r="J294" s="25">
        <v>7.6</v>
      </c>
      <c r="K294" s="26">
        <v>5.0000000000000001E-3</v>
      </c>
      <c r="L294" s="26">
        <v>0</v>
      </c>
      <c r="M294" s="24">
        <v>29</v>
      </c>
      <c r="N294" s="28" t="s">
        <v>345</v>
      </c>
      <c r="O294" s="28" t="s">
        <v>345</v>
      </c>
      <c r="P294" s="28" t="s">
        <v>344</v>
      </c>
      <c r="Q294" s="28" t="s">
        <v>345</v>
      </c>
      <c r="R294" s="29">
        <f>LN(F294+1)/LN(MAX($F$10:$F$511)+1)*100</f>
        <v>52.57382564997026</v>
      </c>
      <c r="S294" s="29">
        <f>IF(H294=0,0,(K294*0.5+L294*0.5)*100)</f>
        <v>0.25</v>
      </c>
      <c r="T294" s="29">
        <f>IF(M294="",0,MIN(100,M294/MAX($M$10:$M$511)*100))</f>
        <v>0.38744154976619904</v>
      </c>
      <c r="U294" s="29">
        <f>MIN(100,IF(O294="Yes",50,0)+IF(N294="Yes",30,0)+IF(P294="Yes",20,0))</f>
        <v>20</v>
      </c>
      <c r="V294" s="30">
        <f>ROUND(U294*$C$3+S294*$C$4+T294*$C$5+R294*$C$6,1)</f>
        <v>15</v>
      </c>
      <c r="W294" s="9"/>
    </row>
    <row r="295" spans="1:23" ht="21.75" customHeight="1" x14ac:dyDescent="0.2">
      <c r="A295" s="23">
        <v>331</v>
      </c>
      <c r="B295" s="9" t="s">
        <v>416</v>
      </c>
      <c r="C295" s="9" t="s">
        <v>797</v>
      </c>
      <c r="D295" s="9" t="s">
        <v>218</v>
      </c>
      <c r="E295" s="9" t="s">
        <v>767</v>
      </c>
      <c r="F295" s="24">
        <v>3</v>
      </c>
      <c r="G295" s="24">
        <v>6</v>
      </c>
      <c r="H295" s="24">
        <v>3</v>
      </c>
      <c r="I295" s="25">
        <v>116</v>
      </c>
      <c r="J295" s="25">
        <v>172.8</v>
      </c>
      <c r="K295" s="26">
        <v>0.66700000000000004</v>
      </c>
      <c r="L295" s="26">
        <v>0.33300000000000002</v>
      </c>
      <c r="M295" s="24">
        <v>1</v>
      </c>
      <c r="N295" s="31"/>
      <c r="O295" s="28" t="s">
        <v>345</v>
      </c>
      <c r="P295" s="28"/>
      <c r="Q295" s="28" t="s">
        <v>345</v>
      </c>
      <c r="R295" s="29">
        <f>LN(F295+1)/LN(MAX($F$10:$F$511)+1)*100</f>
        <v>13.975780609514226</v>
      </c>
      <c r="S295" s="29">
        <f>IF(H295=0,0,(K295*0.5+L295*0.5)*100)</f>
        <v>50</v>
      </c>
      <c r="T295" s="29">
        <f>IF(M295="",0,MIN(100,M295/MAX($M$10:$M$511)*100))</f>
        <v>1.3360053440213761E-2</v>
      </c>
      <c r="U295" s="29">
        <f>MIN(100,IF(O295="Yes",50,0)+IF(N295="Yes",30,0)+IF(P295="Yes",20,0))</f>
        <v>0</v>
      </c>
      <c r="V295" s="30">
        <f>ROUND(U295*$C$3+S295*$C$4+T295*$C$5+R295*$C$6,1)</f>
        <v>14.6</v>
      </c>
      <c r="W295" s="9" t="s">
        <v>738</v>
      </c>
    </row>
    <row r="296" spans="1:23" ht="21.75" customHeight="1" x14ac:dyDescent="0.2">
      <c r="A296" s="23">
        <v>332</v>
      </c>
      <c r="B296" s="9" t="s">
        <v>476</v>
      </c>
      <c r="C296" s="9" t="s">
        <v>800</v>
      </c>
      <c r="D296" s="9" t="s">
        <v>801</v>
      </c>
      <c r="E296" s="9" t="s">
        <v>479</v>
      </c>
      <c r="F296" s="24">
        <v>149</v>
      </c>
      <c r="G296" s="24">
        <v>114</v>
      </c>
      <c r="H296" s="24">
        <v>149</v>
      </c>
      <c r="I296" s="25">
        <v>0.8</v>
      </c>
      <c r="J296" s="25">
        <v>5.3</v>
      </c>
      <c r="K296" s="26">
        <v>0</v>
      </c>
      <c r="L296" s="26">
        <v>0</v>
      </c>
      <c r="M296" s="24">
        <v>1</v>
      </c>
      <c r="N296" s="28" t="s">
        <v>345</v>
      </c>
      <c r="O296" s="28" t="s">
        <v>345</v>
      </c>
      <c r="P296" s="28" t="s">
        <v>344</v>
      </c>
      <c r="Q296" s="28" t="s">
        <v>345</v>
      </c>
      <c r="R296" s="29">
        <f>LN(F296+1)/LN(MAX($F$10:$F$511)+1)*100</f>
        <v>50.514192042163174</v>
      </c>
      <c r="S296" s="29">
        <f>IF(H296=0,0,(K296*0.5+L296*0.5)*100)</f>
        <v>0</v>
      </c>
      <c r="T296" s="29">
        <f>IF(M296="",0,MIN(100,M296/MAX($M$10:$M$511)*100))</f>
        <v>1.3360053440213761E-2</v>
      </c>
      <c r="U296" s="29">
        <f>MIN(100,IF(O296="Yes",50,0)+IF(N296="Yes",30,0)+IF(P296="Yes",20,0))</f>
        <v>20</v>
      </c>
      <c r="V296" s="30">
        <f>ROUND(U296*$C$3+S296*$C$4+T296*$C$5+R296*$C$6,1)</f>
        <v>14.6</v>
      </c>
      <c r="W296" s="9"/>
    </row>
    <row r="297" spans="1:23" ht="21.75" customHeight="1" x14ac:dyDescent="0.2">
      <c r="A297" s="23">
        <v>333</v>
      </c>
      <c r="B297" s="9" t="s">
        <v>280</v>
      </c>
      <c r="C297" s="9" t="s">
        <v>605</v>
      </c>
      <c r="D297" s="9" t="s">
        <v>802</v>
      </c>
      <c r="E297" s="9" t="s">
        <v>424</v>
      </c>
      <c r="F297" s="24">
        <v>10</v>
      </c>
      <c r="G297" s="24">
        <v>59</v>
      </c>
      <c r="H297" s="24">
        <v>10</v>
      </c>
      <c r="I297" s="25">
        <v>83.6</v>
      </c>
      <c r="J297" s="25">
        <v>88.1</v>
      </c>
      <c r="K297" s="26">
        <v>0.3</v>
      </c>
      <c r="L297" s="26">
        <v>0</v>
      </c>
      <c r="M297" s="24">
        <v>35</v>
      </c>
      <c r="N297" s="28" t="s">
        <v>345</v>
      </c>
      <c r="O297" s="28" t="s">
        <v>345</v>
      </c>
      <c r="P297" s="28" t="s">
        <v>344</v>
      </c>
      <c r="Q297" s="28" t="s">
        <v>345</v>
      </c>
      <c r="R297" s="29">
        <f>LN(F297+1)/LN(MAX($F$10:$F$511)+1)*100</f>
        <v>24.174128667845775</v>
      </c>
      <c r="S297" s="29">
        <f>IF(H297=0,0,(K297*0.5+L297*0.5)*100)</f>
        <v>15</v>
      </c>
      <c r="T297" s="29">
        <f>IF(M297="",0,MIN(100,M297/MAX($M$10:$M$511)*100))</f>
        <v>0.46760187040748163</v>
      </c>
      <c r="U297" s="29">
        <f>MIN(100,IF(O297="Yes",50,0)+IF(N297="Yes",30,0)+IF(P297="Yes",20,0))</f>
        <v>20</v>
      </c>
      <c r="V297" s="30">
        <f>ROUND(U297*$C$3+S297*$C$4+T297*$C$5+R297*$C$6,1)</f>
        <v>14.5</v>
      </c>
      <c r="W297" s="9" t="s">
        <v>396</v>
      </c>
    </row>
    <row r="298" spans="1:23" ht="32.25" customHeight="1" x14ac:dyDescent="0.2">
      <c r="A298" s="23">
        <v>64</v>
      </c>
      <c r="B298" s="9" t="s">
        <v>292</v>
      </c>
      <c r="C298" s="9" t="s">
        <v>482</v>
      </c>
      <c r="D298" s="9"/>
      <c r="E298" s="9" t="s">
        <v>357</v>
      </c>
      <c r="F298" s="24">
        <v>13</v>
      </c>
      <c r="G298" s="24">
        <v>9</v>
      </c>
      <c r="H298" s="24">
        <v>13</v>
      </c>
      <c r="I298" s="25">
        <v>2</v>
      </c>
      <c r="J298" s="25">
        <v>42.1</v>
      </c>
      <c r="K298" s="26">
        <v>0.154</v>
      </c>
      <c r="L298" s="26">
        <v>7.6999999999999999E-2</v>
      </c>
      <c r="M298" s="27"/>
      <c r="N298" s="28" t="s">
        <v>345</v>
      </c>
      <c r="O298" s="28" t="s">
        <v>345</v>
      </c>
      <c r="P298" s="28" t="s">
        <v>344</v>
      </c>
      <c r="Q298" s="28" t="s">
        <v>345</v>
      </c>
      <c r="R298" s="29">
        <f>LN(F298+1)/LN(MAX($F$10:$F$511)+1)*100</f>
        <v>26.605378546615604</v>
      </c>
      <c r="S298" s="29">
        <f>IF(H298=0,0,(K298*0.5+L298*0.5)*100)</f>
        <v>11.549999999999999</v>
      </c>
      <c r="T298" s="29">
        <f>IF(M298="",0,MIN(100,M298/MAX($M$10:$M$511)*100))</f>
        <v>0</v>
      </c>
      <c r="U298" s="29">
        <f>MIN(100,IF(O298="Yes",50,0)+IF(N298="Yes",30,0)+IF(P298="Yes",20,0))</f>
        <v>20</v>
      </c>
      <c r="V298" s="30">
        <f>ROUND(U298*$C$3+S298*$C$4+T298*$C$5+R298*$C$6,1)</f>
        <v>13.9</v>
      </c>
      <c r="W298" s="9" t="s">
        <v>375</v>
      </c>
    </row>
    <row r="299" spans="1:23" ht="32.25" customHeight="1" x14ac:dyDescent="0.2">
      <c r="A299" s="23">
        <v>334</v>
      </c>
      <c r="B299" s="9" t="s">
        <v>384</v>
      </c>
      <c r="C299" s="9" t="s">
        <v>429</v>
      </c>
      <c r="D299" s="9" t="s">
        <v>803</v>
      </c>
      <c r="E299" s="9" t="s">
        <v>501</v>
      </c>
      <c r="F299" s="24">
        <v>31</v>
      </c>
      <c r="G299" s="24">
        <v>57</v>
      </c>
      <c r="H299" s="24">
        <v>31</v>
      </c>
      <c r="I299" s="25">
        <v>5</v>
      </c>
      <c r="J299" s="25">
        <v>23.1</v>
      </c>
      <c r="K299" s="26">
        <v>6.5000000000000002E-2</v>
      </c>
      <c r="L299" s="26">
        <v>3.2000000000000001E-2</v>
      </c>
      <c r="M299" s="24">
        <v>142</v>
      </c>
      <c r="N299" s="28" t="s">
        <v>345</v>
      </c>
      <c r="O299" s="28" t="s">
        <v>345</v>
      </c>
      <c r="P299" s="28" t="s">
        <v>344</v>
      </c>
      <c r="Q299" s="28" t="s">
        <v>345</v>
      </c>
      <c r="R299" s="29">
        <f>LN(F299+1)/LN(MAX($F$10:$F$511)+1)*100</f>
        <v>34.939451523785564</v>
      </c>
      <c r="S299" s="29">
        <f>IF(H299=0,0,(K299*0.5+L299*0.5)*100)</f>
        <v>4.8500000000000005</v>
      </c>
      <c r="T299" s="29">
        <f>IF(M299="",0,MIN(100,M299/MAX($M$10:$M$511)*100))</f>
        <v>1.8971275885103542</v>
      </c>
      <c r="U299" s="29">
        <f>MIN(100,IF(O299="Yes",50,0)+IF(N299="Yes",30,0)+IF(P299="Yes",20,0))</f>
        <v>20</v>
      </c>
      <c r="V299" s="30">
        <f>ROUND(U299*$C$3+S299*$C$4+T299*$C$5+R299*$C$6,1)</f>
        <v>13.9</v>
      </c>
      <c r="W299" s="9" t="s">
        <v>396</v>
      </c>
    </row>
    <row r="300" spans="1:23" ht="32.25" customHeight="1" x14ac:dyDescent="0.2">
      <c r="A300" s="23">
        <v>335</v>
      </c>
      <c r="B300" s="9" t="s">
        <v>384</v>
      </c>
      <c r="C300" s="9" t="s">
        <v>667</v>
      </c>
      <c r="D300" s="9" t="s">
        <v>803</v>
      </c>
      <c r="E300" s="9" t="s">
        <v>501</v>
      </c>
      <c r="F300" s="24">
        <v>7</v>
      </c>
      <c r="G300" s="24">
        <v>23</v>
      </c>
      <c r="H300" s="24">
        <v>7</v>
      </c>
      <c r="I300" s="25">
        <v>54.8</v>
      </c>
      <c r="J300" s="25">
        <v>70.8</v>
      </c>
      <c r="K300" s="26">
        <v>0.28599999999999998</v>
      </c>
      <c r="L300" s="26">
        <v>0</v>
      </c>
      <c r="M300" s="24">
        <v>42</v>
      </c>
      <c r="N300" s="28" t="s">
        <v>345</v>
      </c>
      <c r="O300" s="28" t="s">
        <v>345</v>
      </c>
      <c r="P300" s="28" t="s">
        <v>344</v>
      </c>
      <c r="Q300" s="28" t="s">
        <v>345</v>
      </c>
      <c r="R300" s="29">
        <f>LN(F300+1)/LN(MAX($F$10:$F$511)+1)*100</f>
        <v>20.963670914271336</v>
      </c>
      <c r="S300" s="29">
        <f>IF(H300=0,0,(K300*0.5+L300*0.5)*100)</f>
        <v>14.299999999999999</v>
      </c>
      <c r="T300" s="29">
        <f>IF(M300="",0,MIN(100,M300/MAX($M$10:$M$511)*100))</f>
        <v>0.56112224448897796</v>
      </c>
      <c r="U300" s="29">
        <f>MIN(100,IF(O300="Yes",50,0)+IF(N300="Yes",30,0)+IF(P300="Yes",20,0))</f>
        <v>20</v>
      </c>
      <c r="V300" s="30">
        <f>ROUND(U300*$C$3+S300*$C$4+T300*$C$5+R300*$C$6,1)</f>
        <v>13.9</v>
      </c>
      <c r="W300" s="9" t="s">
        <v>388</v>
      </c>
    </row>
    <row r="301" spans="1:23" ht="21.75" customHeight="1" x14ac:dyDescent="0.2">
      <c r="A301" s="23">
        <v>336</v>
      </c>
      <c r="B301" s="9" t="s">
        <v>510</v>
      </c>
      <c r="C301" s="9" t="s">
        <v>688</v>
      </c>
      <c r="D301" s="9" t="s">
        <v>804</v>
      </c>
      <c r="E301" s="9" t="s">
        <v>512</v>
      </c>
      <c r="F301" s="24">
        <v>630</v>
      </c>
      <c r="G301" s="24">
        <v>223</v>
      </c>
      <c r="H301" s="24">
        <v>630</v>
      </c>
      <c r="I301" s="25">
        <v>18.899999999999999</v>
      </c>
      <c r="J301" s="25">
        <v>38.5</v>
      </c>
      <c r="K301" s="26">
        <v>0.114</v>
      </c>
      <c r="L301" s="26">
        <v>3.6999999999999998E-2</v>
      </c>
      <c r="M301" s="24">
        <v>650</v>
      </c>
      <c r="N301" s="31"/>
      <c r="O301" s="28" t="s">
        <v>345</v>
      </c>
      <c r="P301" s="28"/>
      <c r="Q301" s="28" t="s">
        <v>344</v>
      </c>
      <c r="R301" s="29">
        <f>LN(F301+1)/LN(MAX($F$10:$F$511)+1)*100</f>
        <v>64.997835080653729</v>
      </c>
      <c r="S301" s="29">
        <f>IF(H301=0,0,(K301*0.5+L301*0.5)*100)</f>
        <v>7.55</v>
      </c>
      <c r="T301" s="29">
        <f>IF(M301="",0,MIN(100,M301/MAX($M$10:$M$511)*100))</f>
        <v>8.6840347361389441</v>
      </c>
      <c r="U301" s="29">
        <f>MIN(100,IF(O301="Yes",50,0)+IF(N301="Yes",30,0)+IF(P301="Yes",20,0))</f>
        <v>0</v>
      </c>
      <c r="V301" s="30">
        <f>ROUND(U301*$C$3+S301*$C$4+T301*$C$5+R301*$C$6,1)</f>
        <v>13.8</v>
      </c>
      <c r="W301" s="9" t="s">
        <v>370</v>
      </c>
    </row>
    <row r="302" spans="1:23" ht="32.25" customHeight="1" x14ac:dyDescent="0.2">
      <c r="A302" s="23">
        <v>337</v>
      </c>
      <c r="B302" s="9" t="s">
        <v>416</v>
      </c>
      <c r="C302" s="9" t="s">
        <v>805</v>
      </c>
      <c r="D302" s="9"/>
      <c r="E302" s="9" t="s">
        <v>806</v>
      </c>
      <c r="F302" s="24">
        <v>1</v>
      </c>
      <c r="G302" s="24">
        <v>38</v>
      </c>
      <c r="H302" s="24">
        <v>1</v>
      </c>
      <c r="I302" s="25">
        <v>92</v>
      </c>
      <c r="J302" s="25">
        <v>92</v>
      </c>
      <c r="K302" s="26">
        <v>1</v>
      </c>
      <c r="L302" s="26">
        <v>0</v>
      </c>
      <c r="M302" s="24">
        <v>27</v>
      </c>
      <c r="N302" s="31"/>
      <c r="O302" s="28" t="s">
        <v>345</v>
      </c>
      <c r="P302" s="28"/>
      <c r="Q302" s="28" t="s">
        <v>345</v>
      </c>
      <c r="R302" s="29">
        <f>LN(F302+1)/LN(MAX($F$10:$F$511)+1)*100</f>
        <v>6.987890304757113</v>
      </c>
      <c r="S302" s="29">
        <f>IF(H302=0,0,(K302*0.5+L302*0.5)*100)</f>
        <v>50</v>
      </c>
      <c r="T302" s="29">
        <f>IF(M302="",0,MIN(100,M302/MAX($M$10:$M$511)*100))</f>
        <v>0.36072144288577157</v>
      </c>
      <c r="U302" s="29">
        <f>MIN(100,IF(O302="Yes",50,0)+IF(N302="Yes",30,0)+IF(P302="Yes",20,0))</f>
        <v>0</v>
      </c>
      <c r="V302" s="30">
        <f>ROUND(U302*$C$3+S302*$C$4+T302*$C$5+R302*$C$6,1)</f>
        <v>13.6</v>
      </c>
      <c r="W302" s="9" t="s">
        <v>781</v>
      </c>
    </row>
    <row r="303" spans="1:23" ht="21.75" customHeight="1" x14ac:dyDescent="0.2">
      <c r="A303" s="23">
        <v>338</v>
      </c>
      <c r="B303" s="9" t="s">
        <v>416</v>
      </c>
      <c r="C303" s="9" t="s">
        <v>807</v>
      </c>
      <c r="D303" s="9" t="s">
        <v>808</v>
      </c>
      <c r="E303" s="9" t="s">
        <v>809</v>
      </c>
      <c r="F303" s="24">
        <v>1</v>
      </c>
      <c r="G303" s="24">
        <v>6</v>
      </c>
      <c r="H303" s="24">
        <v>1</v>
      </c>
      <c r="I303" s="25">
        <v>133.9</v>
      </c>
      <c r="J303" s="25">
        <v>133.9</v>
      </c>
      <c r="K303" s="26">
        <v>1</v>
      </c>
      <c r="L303" s="26">
        <v>0</v>
      </c>
      <c r="M303" s="24">
        <v>16</v>
      </c>
      <c r="N303" s="31"/>
      <c r="O303" s="28" t="s">
        <v>345</v>
      </c>
      <c r="P303" s="28"/>
      <c r="Q303" s="28" t="s">
        <v>345</v>
      </c>
      <c r="R303" s="29">
        <f>LN(F303+1)/LN(MAX($F$10:$F$511)+1)*100</f>
        <v>6.987890304757113</v>
      </c>
      <c r="S303" s="29">
        <f>IF(H303=0,0,(K303*0.5+L303*0.5)*100)</f>
        <v>50</v>
      </c>
      <c r="T303" s="29">
        <f>IF(M303="",0,MIN(100,M303/MAX($M$10:$M$511)*100))</f>
        <v>0.21376085504342018</v>
      </c>
      <c r="U303" s="29">
        <f>MIN(100,IF(O303="Yes",50,0)+IF(N303="Yes",30,0)+IF(P303="Yes",20,0))</f>
        <v>0</v>
      </c>
      <c r="V303" s="30">
        <f>ROUND(U303*$C$3+S303*$C$4+T303*$C$5+R303*$C$6,1)</f>
        <v>13.6</v>
      </c>
      <c r="W303" s="9" t="s">
        <v>597</v>
      </c>
    </row>
    <row r="304" spans="1:23" ht="32.25" customHeight="1" x14ac:dyDescent="0.2">
      <c r="A304" s="23">
        <v>339</v>
      </c>
      <c r="B304" s="9" t="s">
        <v>402</v>
      </c>
      <c r="C304" s="9" t="s">
        <v>810</v>
      </c>
      <c r="D304" s="9"/>
      <c r="E304" s="9" t="s">
        <v>811</v>
      </c>
      <c r="F304" s="24">
        <v>1</v>
      </c>
      <c r="G304" s="24">
        <v>1</v>
      </c>
      <c r="H304" s="24">
        <v>1</v>
      </c>
      <c r="I304" s="25">
        <v>95.9</v>
      </c>
      <c r="J304" s="25">
        <v>95.9</v>
      </c>
      <c r="K304" s="26">
        <v>1</v>
      </c>
      <c r="L304" s="26">
        <v>0</v>
      </c>
      <c r="M304" s="24">
        <v>2</v>
      </c>
      <c r="N304" s="31"/>
      <c r="O304" s="28" t="s">
        <v>345</v>
      </c>
      <c r="P304" s="28"/>
      <c r="Q304" s="28" t="s">
        <v>345</v>
      </c>
      <c r="R304" s="29">
        <f>LN(F304+1)/LN(MAX($F$10:$F$511)+1)*100</f>
        <v>6.987890304757113</v>
      </c>
      <c r="S304" s="29">
        <f>IF(H304=0,0,(K304*0.5+L304*0.5)*100)</f>
        <v>50</v>
      </c>
      <c r="T304" s="29">
        <f>IF(M304="",0,MIN(100,M304/MAX($M$10:$M$511)*100))</f>
        <v>2.6720106880427523E-2</v>
      </c>
      <c r="U304" s="29">
        <f>MIN(100,IF(O304="Yes",50,0)+IF(N304="Yes",30,0)+IF(P304="Yes",20,0))</f>
        <v>0</v>
      </c>
      <c r="V304" s="30">
        <f>ROUND(U304*$C$3+S304*$C$4+T304*$C$5+R304*$C$6,1)</f>
        <v>13.6</v>
      </c>
      <c r="W304" s="9" t="s">
        <v>781</v>
      </c>
    </row>
    <row r="305" spans="1:23" ht="32.25" customHeight="1" x14ac:dyDescent="0.2">
      <c r="A305" s="23">
        <v>340</v>
      </c>
      <c r="B305" s="9" t="s">
        <v>248</v>
      </c>
      <c r="C305" s="9" t="s">
        <v>812</v>
      </c>
      <c r="D305" s="9" t="s">
        <v>813</v>
      </c>
      <c r="E305" s="9" t="s">
        <v>565</v>
      </c>
      <c r="F305" s="24">
        <v>17</v>
      </c>
      <c r="G305" s="24">
        <v>11</v>
      </c>
      <c r="H305" s="24">
        <v>17</v>
      </c>
      <c r="I305" s="25">
        <v>108</v>
      </c>
      <c r="J305" s="25">
        <v>120.6</v>
      </c>
      <c r="K305" s="26">
        <v>0.52900000000000003</v>
      </c>
      <c r="L305" s="26">
        <v>0.17599999999999999</v>
      </c>
      <c r="M305" s="24">
        <v>3</v>
      </c>
      <c r="N305" s="31"/>
      <c r="O305" s="28" t="s">
        <v>345</v>
      </c>
      <c r="P305" s="28"/>
      <c r="Q305" s="28" t="s">
        <v>344</v>
      </c>
      <c r="R305" s="29">
        <f>LN(F305+1)/LN(MAX($F$10:$F$511)+1)*100</f>
        <v>29.138978489143025</v>
      </c>
      <c r="S305" s="29">
        <f>IF(H305=0,0,(K305*0.5+L305*0.5)*100)</f>
        <v>35.25</v>
      </c>
      <c r="T305" s="29">
        <f>IF(M305="",0,MIN(100,M305/MAX($M$10:$M$511)*100))</f>
        <v>4.0080160320641281E-2</v>
      </c>
      <c r="U305" s="29">
        <f>MIN(100,IF(O305="Yes",50,0)+IF(N305="Yes",30,0)+IF(P305="Yes",20,0))</f>
        <v>0</v>
      </c>
      <c r="V305" s="30">
        <f>ROUND(U305*$C$3+S305*$C$4+T305*$C$5+R305*$C$6,1)</f>
        <v>13.2</v>
      </c>
      <c r="W305" s="9" t="s">
        <v>652</v>
      </c>
    </row>
    <row r="306" spans="1:23" ht="32.25" customHeight="1" x14ac:dyDescent="0.2">
      <c r="A306" s="23">
        <v>341</v>
      </c>
      <c r="B306" s="9" t="s">
        <v>416</v>
      </c>
      <c r="C306" s="9" t="s">
        <v>745</v>
      </c>
      <c r="D306" s="9" t="s">
        <v>814</v>
      </c>
      <c r="E306" s="9" t="s">
        <v>747</v>
      </c>
      <c r="F306" s="24">
        <v>10</v>
      </c>
      <c r="G306" s="24">
        <v>10</v>
      </c>
      <c r="H306" s="24">
        <v>10</v>
      </c>
      <c r="I306" s="25">
        <v>23</v>
      </c>
      <c r="J306" s="25">
        <v>38.9</v>
      </c>
      <c r="K306" s="26">
        <v>0.2</v>
      </c>
      <c r="L306" s="26">
        <v>0</v>
      </c>
      <c r="M306" s="24">
        <v>1</v>
      </c>
      <c r="N306" s="28" t="s">
        <v>345</v>
      </c>
      <c r="O306" s="28" t="s">
        <v>345</v>
      </c>
      <c r="P306" s="28" t="s">
        <v>344</v>
      </c>
      <c r="Q306" s="28" t="s">
        <v>345</v>
      </c>
      <c r="R306" s="29">
        <f>LN(F306+1)/LN(MAX($F$10:$F$511)+1)*100</f>
        <v>24.174128667845775</v>
      </c>
      <c r="S306" s="29">
        <f>IF(H306=0,0,(K306*0.5+L306*0.5)*100)</f>
        <v>10</v>
      </c>
      <c r="T306" s="29">
        <f>IF(M306="",0,MIN(100,M306/MAX($M$10:$M$511)*100))</f>
        <v>1.3360053440213761E-2</v>
      </c>
      <c r="U306" s="29">
        <f>MIN(100,IF(O306="Yes",50,0)+IF(N306="Yes",30,0)+IF(P306="Yes",20,0))</f>
        <v>20</v>
      </c>
      <c r="V306" s="30">
        <f>ROUND(U306*$C$3+S306*$C$4+T306*$C$5+R306*$C$6,1)</f>
        <v>13.1</v>
      </c>
      <c r="W306" s="9"/>
    </row>
    <row r="307" spans="1:23" ht="32.25" customHeight="1" x14ac:dyDescent="0.2">
      <c r="A307" s="23">
        <v>342</v>
      </c>
      <c r="B307" s="9" t="s">
        <v>476</v>
      </c>
      <c r="C307" s="9" t="s">
        <v>815</v>
      </c>
      <c r="D307" s="9" t="s">
        <v>478</v>
      </c>
      <c r="E307" s="9" t="s">
        <v>538</v>
      </c>
      <c r="F307" s="24">
        <v>1382</v>
      </c>
      <c r="G307" s="24">
        <v>860</v>
      </c>
      <c r="H307" s="24">
        <v>1382</v>
      </c>
      <c r="I307" s="25">
        <v>6.7</v>
      </c>
      <c r="J307" s="25">
        <v>17.7</v>
      </c>
      <c r="K307" s="26">
        <v>4.2999999999999997E-2</v>
      </c>
      <c r="L307" s="26">
        <v>1.2999999999999999E-2</v>
      </c>
      <c r="M307" s="24">
        <v>359</v>
      </c>
      <c r="N307" s="31"/>
      <c r="O307" s="28" t="s">
        <v>345</v>
      </c>
      <c r="P307" s="28"/>
      <c r="Q307" s="28" t="s">
        <v>345</v>
      </c>
      <c r="R307" s="29">
        <f>LN(F307+1)/LN(MAX($F$10:$F$511)+1)*100</f>
        <v>72.908750548070515</v>
      </c>
      <c r="S307" s="29">
        <f>IF(H307=0,0,(K307*0.5+L307*0.5)*100)</f>
        <v>2.8</v>
      </c>
      <c r="T307" s="29">
        <f>IF(M307="",0,MIN(100,M307/MAX($M$10:$M$511)*100))</f>
        <v>4.7962591850367398</v>
      </c>
      <c r="U307" s="29">
        <f>MIN(100,IF(O307="Yes",50,0)+IF(N307="Yes",30,0)+IF(P307="Yes",20,0))</f>
        <v>0</v>
      </c>
      <c r="V307" s="30">
        <f>ROUND(U307*$C$3+S307*$C$4+T307*$C$5+R307*$C$6,1)</f>
        <v>12.8</v>
      </c>
      <c r="W307" s="9" t="s">
        <v>652</v>
      </c>
    </row>
    <row r="308" spans="1:23" ht="32.25" customHeight="1" x14ac:dyDescent="0.2">
      <c r="A308" s="23">
        <v>343</v>
      </c>
      <c r="B308" s="9" t="s">
        <v>476</v>
      </c>
      <c r="C308" s="9" t="s">
        <v>816</v>
      </c>
      <c r="D308" s="9" t="s">
        <v>540</v>
      </c>
      <c r="E308" s="9" t="s">
        <v>538</v>
      </c>
      <c r="F308" s="24">
        <v>3685</v>
      </c>
      <c r="G308" s="24">
        <v>1998</v>
      </c>
      <c r="H308" s="24">
        <v>3685</v>
      </c>
      <c r="I308" s="25">
        <v>1.9</v>
      </c>
      <c r="J308" s="25">
        <v>7.7</v>
      </c>
      <c r="K308" s="26">
        <v>1.2E-2</v>
      </c>
      <c r="L308" s="26">
        <v>1E-3</v>
      </c>
      <c r="M308" s="24">
        <v>10</v>
      </c>
      <c r="N308" s="31"/>
      <c r="O308" s="28" t="s">
        <v>345</v>
      </c>
      <c r="P308" s="28"/>
      <c r="Q308" s="28" t="s">
        <v>345</v>
      </c>
      <c r="R308" s="29">
        <f>LN(F308+1)/LN(MAX($F$10:$F$511)+1)*100</f>
        <v>82.791408753421919</v>
      </c>
      <c r="S308" s="29">
        <f>IF(H308=0,0,(K308*0.5+L308*0.5)*100)</f>
        <v>0.65</v>
      </c>
      <c r="T308" s="29">
        <f>IF(M308="",0,MIN(100,M308/MAX($M$10:$M$511)*100))</f>
        <v>0.13360053440213762</v>
      </c>
      <c r="U308" s="29">
        <f>MIN(100,IF(O308="Yes",50,0)+IF(N308="Yes",30,0)+IF(P308="Yes",20,0))</f>
        <v>0</v>
      </c>
      <c r="V308" s="30">
        <f>ROUND(U308*$C$3+S308*$C$4+T308*$C$5+R308*$C$6,1)</f>
        <v>12.6</v>
      </c>
      <c r="W308" s="9" t="s">
        <v>652</v>
      </c>
    </row>
    <row r="309" spans="1:23" ht="21.75" customHeight="1" x14ac:dyDescent="0.2">
      <c r="A309" s="23">
        <v>344</v>
      </c>
      <c r="B309" s="9" t="s">
        <v>384</v>
      </c>
      <c r="C309" s="9" t="s">
        <v>571</v>
      </c>
      <c r="D309" s="9" t="s">
        <v>803</v>
      </c>
      <c r="E309" s="9" t="s">
        <v>501</v>
      </c>
      <c r="F309" s="24">
        <v>4</v>
      </c>
      <c r="G309" s="24">
        <v>12</v>
      </c>
      <c r="H309" s="24">
        <v>4</v>
      </c>
      <c r="I309" s="25">
        <v>21.2</v>
      </c>
      <c r="J309" s="25">
        <v>35.4</v>
      </c>
      <c r="K309" s="26">
        <v>0.25</v>
      </c>
      <c r="L309" s="26">
        <v>0</v>
      </c>
      <c r="M309" s="24">
        <v>9</v>
      </c>
      <c r="N309" s="28" t="s">
        <v>345</v>
      </c>
      <c r="O309" s="28" t="s">
        <v>345</v>
      </c>
      <c r="P309" s="28" t="s">
        <v>344</v>
      </c>
      <c r="Q309" s="28" t="s">
        <v>345</v>
      </c>
      <c r="R309" s="29">
        <f>LN(F309+1)/LN(MAX($F$10:$F$511)+1)*100</f>
        <v>16.225378822606551</v>
      </c>
      <c r="S309" s="29">
        <f>IF(H309=0,0,(K309*0.5+L309*0.5)*100)</f>
        <v>12.5</v>
      </c>
      <c r="T309" s="29">
        <f>IF(M309="",0,MIN(100,M309/MAX($M$10:$M$511)*100))</f>
        <v>0.12024048096192384</v>
      </c>
      <c r="U309" s="29">
        <f>MIN(100,IF(O309="Yes",50,0)+IF(N309="Yes",30,0)+IF(P309="Yes",20,0))</f>
        <v>20</v>
      </c>
      <c r="V309" s="30">
        <f>ROUND(U309*$C$3+S309*$C$4+T309*$C$5+R309*$C$6,1)</f>
        <v>12.6</v>
      </c>
      <c r="W309" s="9" t="s">
        <v>388</v>
      </c>
    </row>
    <row r="310" spans="1:23" ht="32.25" customHeight="1" x14ac:dyDescent="0.2">
      <c r="A310" s="23">
        <v>345</v>
      </c>
      <c r="B310" s="9" t="s">
        <v>476</v>
      </c>
      <c r="C310" s="9" t="s">
        <v>799</v>
      </c>
      <c r="D310" s="9" t="s">
        <v>817</v>
      </c>
      <c r="E310" s="9" t="s">
        <v>479</v>
      </c>
      <c r="F310" s="24">
        <v>32</v>
      </c>
      <c r="G310" s="24">
        <v>109</v>
      </c>
      <c r="H310" s="24">
        <v>32</v>
      </c>
      <c r="I310" s="25">
        <v>2</v>
      </c>
      <c r="J310" s="25">
        <v>4.5999999999999996</v>
      </c>
      <c r="K310" s="26">
        <v>0</v>
      </c>
      <c r="L310" s="26">
        <v>0</v>
      </c>
      <c r="M310" s="24">
        <v>29</v>
      </c>
      <c r="N310" s="28" t="s">
        <v>345</v>
      </c>
      <c r="O310" s="28" t="s">
        <v>345</v>
      </c>
      <c r="P310" s="28" t="s">
        <v>344</v>
      </c>
      <c r="Q310" s="28" t="s">
        <v>345</v>
      </c>
      <c r="R310" s="29">
        <f>LN(F310+1)/LN(MAX($F$10:$F$511)+1)*100</f>
        <v>35.249672760038727</v>
      </c>
      <c r="S310" s="29">
        <f>IF(H310=0,0,(K310*0.5+L310*0.5)*100)</f>
        <v>0</v>
      </c>
      <c r="T310" s="29">
        <f>IF(M310="",0,MIN(100,M310/MAX($M$10:$M$511)*100))</f>
        <v>0.38744154976619904</v>
      </c>
      <c r="U310" s="29">
        <f>MIN(100,IF(O310="Yes",50,0)+IF(N310="Yes",30,0)+IF(P310="Yes",20,0))</f>
        <v>20</v>
      </c>
      <c r="V310" s="30">
        <f>ROUND(U310*$C$3+S310*$C$4+T310*$C$5+R310*$C$6,1)</f>
        <v>12.4</v>
      </c>
      <c r="W310" s="9"/>
    </row>
    <row r="311" spans="1:23" ht="21.75" customHeight="1" x14ac:dyDescent="0.2">
      <c r="A311" s="23">
        <v>69</v>
      </c>
      <c r="B311" s="9" t="s">
        <v>185</v>
      </c>
      <c r="C311" s="9" t="s">
        <v>486</v>
      </c>
      <c r="D311" s="9"/>
      <c r="E311" s="9" t="s">
        <v>487</v>
      </c>
      <c r="F311" s="24">
        <v>31</v>
      </c>
      <c r="G311" s="24">
        <v>11</v>
      </c>
      <c r="H311" s="24">
        <v>31</v>
      </c>
      <c r="I311" s="25">
        <v>0</v>
      </c>
      <c r="J311" s="25">
        <v>0.1</v>
      </c>
      <c r="K311" s="26">
        <v>0</v>
      </c>
      <c r="L311" s="26">
        <v>0</v>
      </c>
      <c r="M311" s="27"/>
      <c r="N311" s="28" t="s">
        <v>345</v>
      </c>
      <c r="O311" s="28" t="s">
        <v>345</v>
      </c>
      <c r="P311" s="28" t="s">
        <v>344</v>
      </c>
      <c r="Q311" s="28" t="s">
        <v>345</v>
      </c>
      <c r="R311" s="29">
        <f>LN(F311+1)/LN(MAX($F$10:$F$511)+1)*100</f>
        <v>34.939451523785564</v>
      </c>
      <c r="S311" s="29">
        <f>IF(H311=0,0,(K311*0.5+L311*0.5)*100)</f>
        <v>0</v>
      </c>
      <c r="T311" s="29">
        <f>IF(M311="",0,MIN(100,M311/MAX($M$10:$M$511)*100))</f>
        <v>0</v>
      </c>
      <c r="U311" s="29">
        <f>MIN(100,IF(O311="Yes",50,0)+IF(N311="Yes",30,0)+IF(P311="Yes",20,0))</f>
        <v>20</v>
      </c>
      <c r="V311" s="30">
        <f>ROUND(U311*$C$3+S311*$C$4+T311*$C$5+R311*$C$6,1)</f>
        <v>12.2</v>
      </c>
      <c r="W311" s="9" t="s">
        <v>375</v>
      </c>
    </row>
    <row r="312" spans="1:23" ht="21.75" customHeight="1" x14ac:dyDescent="0.2">
      <c r="A312" s="23">
        <v>346</v>
      </c>
      <c r="B312" s="9" t="s">
        <v>384</v>
      </c>
      <c r="C312" s="9" t="s">
        <v>655</v>
      </c>
      <c r="D312" s="9" t="s">
        <v>775</v>
      </c>
      <c r="E312" s="9" t="s">
        <v>657</v>
      </c>
      <c r="F312" s="24">
        <v>4</v>
      </c>
      <c r="G312" s="24">
        <v>67</v>
      </c>
      <c r="H312" s="24">
        <v>4</v>
      </c>
      <c r="I312" s="25">
        <v>154</v>
      </c>
      <c r="J312" s="25">
        <v>119</v>
      </c>
      <c r="K312" s="26">
        <v>0.75</v>
      </c>
      <c r="L312" s="26">
        <v>0</v>
      </c>
      <c r="M312" s="24">
        <v>108</v>
      </c>
      <c r="N312" s="31"/>
      <c r="O312" s="28" t="s">
        <v>345</v>
      </c>
      <c r="P312" s="28"/>
      <c r="Q312" s="28" t="s">
        <v>345</v>
      </c>
      <c r="R312" s="29">
        <f>LN(F312+1)/LN(MAX($F$10:$F$511)+1)*100</f>
        <v>16.225378822606551</v>
      </c>
      <c r="S312" s="29">
        <f>IF(H312=0,0,(K312*0.5+L312*0.5)*100)</f>
        <v>37.5</v>
      </c>
      <c r="T312" s="29">
        <f>IF(M312="",0,MIN(100,M312/MAX($M$10:$M$511)*100))</f>
        <v>1.4428857715430863</v>
      </c>
      <c r="U312" s="29">
        <f>MIN(100,IF(O312="Yes",50,0)+IF(N312="Yes",30,0)+IF(P312="Yes",20,0))</f>
        <v>0</v>
      </c>
      <c r="V312" s="30">
        <f>ROUND(U312*$C$3+S312*$C$4+T312*$C$5+R312*$C$6,1)</f>
        <v>12.2</v>
      </c>
      <c r="W312" s="9" t="s">
        <v>597</v>
      </c>
    </row>
    <row r="313" spans="1:23" ht="32.25" customHeight="1" x14ac:dyDescent="0.2">
      <c r="A313" s="23">
        <v>347</v>
      </c>
      <c r="B313" s="9" t="s">
        <v>366</v>
      </c>
      <c r="C313" s="9" t="s">
        <v>818</v>
      </c>
      <c r="D313" s="9" t="s">
        <v>819</v>
      </c>
      <c r="E313" s="9" t="s">
        <v>820</v>
      </c>
      <c r="F313" s="24">
        <v>177</v>
      </c>
      <c r="G313" s="24">
        <v>339</v>
      </c>
      <c r="H313" s="24">
        <v>177</v>
      </c>
      <c r="I313" s="25">
        <v>49.6</v>
      </c>
      <c r="J313" s="25">
        <v>75.599999999999994</v>
      </c>
      <c r="K313" s="26">
        <v>0.186</v>
      </c>
      <c r="L313" s="26">
        <v>5.6000000000000001E-2</v>
      </c>
      <c r="M313" s="24">
        <v>343</v>
      </c>
      <c r="N313" s="31"/>
      <c r="O313" s="28" t="s">
        <v>345</v>
      </c>
      <c r="P313" s="28"/>
      <c r="Q313" s="28" t="s">
        <v>345</v>
      </c>
      <c r="R313" s="29">
        <f>LN(F313+1)/LN(MAX($F$10:$F$511)+1)*100</f>
        <v>52.239605163198718</v>
      </c>
      <c r="S313" s="29">
        <f>IF(H313=0,0,(K313*0.5+L313*0.5)*100)</f>
        <v>12.1</v>
      </c>
      <c r="T313" s="29">
        <f>IF(M313="",0,MIN(100,M313/MAX($M$10:$M$511)*100))</f>
        <v>4.58249832999332</v>
      </c>
      <c r="U313" s="29">
        <f>MIN(100,IF(O313="Yes",50,0)+IF(N313="Yes",30,0)+IF(P313="Yes",20,0))</f>
        <v>0</v>
      </c>
      <c r="V313" s="30">
        <f>ROUND(U313*$C$3+S313*$C$4+T313*$C$5+R313*$C$6,1)</f>
        <v>12</v>
      </c>
      <c r="W313" s="9" t="s">
        <v>370</v>
      </c>
    </row>
    <row r="314" spans="1:23" ht="21.75" customHeight="1" x14ac:dyDescent="0.2">
      <c r="A314" s="23">
        <v>348</v>
      </c>
      <c r="B314" s="9" t="s">
        <v>384</v>
      </c>
      <c r="C314" s="9" t="s">
        <v>571</v>
      </c>
      <c r="D314" s="9" t="s">
        <v>821</v>
      </c>
      <c r="E314" s="9" t="s">
        <v>657</v>
      </c>
      <c r="F314" s="24">
        <v>4</v>
      </c>
      <c r="G314" s="24">
        <v>12</v>
      </c>
      <c r="H314" s="24">
        <v>4</v>
      </c>
      <c r="I314" s="25">
        <v>67.8</v>
      </c>
      <c r="J314" s="25">
        <v>87.4</v>
      </c>
      <c r="K314" s="26">
        <v>0.5</v>
      </c>
      <c r="L314" s="26">
        <v>0.25</v>
      </c>
      <c r="M314" s="24">
        <v>9</v>
      </c>
      <c r="N314" s="31"/>
      <c r="O314" s="28" t="s">
        <v>345</v>
      </c>
      <c r="P314" s="28"/>
      <c r="Q314" s="28" t="s">
        <v>345</v>
      </c>
      <c r="R314" s="29">
        <f>LN(F314+1)/LN(MAX($F$10:$F$511)+1)*100</f>
        <v>16.225378822606551</v>
      </c>
      <c r="S314" s="29">
        <f>IF(H314=0,0,(K314*0.5+L314*0.5)*100)</f>
        <v>37.5</v>
      </c>
      <c r="T314" s="29">
        <f>IF(M314="",0,MIN(100,M314/MAX($M$10:$M$511)*100))</f>
        <v>0.12024048096192384</v>
      </c>
      <c r="U314" s="29">
        <f>MIN(100,IF(O314="Yes",50,0)+IF(N314="Yes",30,0)+IF(P314="Yes",20,0))</f>
        <v>0</v>
      </c>
      <c r="V314" s="30">
        <f>ROUND(U314*$C$3+S314*$C$4+T314*$C$5+R314*$C$6,1)</f>
        <v>11.8</v>
      </c>
      <c r="W314" s="9" t="s">
        <v>597</v>
      </c>
    </row>
    <row r="315" spans="1:23" ht="32.25" customHeight="1" x14ac:dyDescent="0.2">
      <c r="A315" s="23">
        <v>349</v>
      </c>
      <c r="B315" s="9" t="s">
        <v>384</v>
      </c>
      <c r="C315" s="9" t="s">
        <v>774</v>
      </c>
      <c r="D315" s="9" t="s">
        <v>822</v>
      </c>
      <c r="E315" s="9" t="s">
        <v>657</v>
      </c>
      <c r="F315" s="24">
        <v>4</v>
      </c>
      <c r="G315" s="24">
        <v>44</v>
      </c>
      <c r="H315" s="24">
        <v>4</v>
      </c>
      <c r="I315" s="25">
        <v>71.900000000000006</v>
      </c>
      <c r="J315" s="25">
        <v>143.80000000000001</v>
      </c>
      <c r="K315" s="26">
        <v>0.5</v>
      </c>
      <c r="L315" s="26">
        <v>0.25</v>
      </c>
      <c r="M315" s="24">
        <v>5</v>
      </c>
      <c r="N315" s="31"/>
      <c r="O315" s="28" t="s">
        <v>345</v>
      </c>
      <c r="P315" s="28"/>
      <c r="Q315" s="28" t="s">
        <v>345</v>
      </c>
      <c r="R315" s="29">
        <f>LN(F315+1)/LN(MAX($F$10:$F$511)+1)*100</f>
        <v>16.225378822606551</v>
      </c>
      <c r="S315" s="29">
        <f>IF(H315=0,0,(K315*0.5+L315*0.5)*100)</f>
        <v>37.5</v>
      </c>
      <c r="T315" s="29">
        <f>IF(M315="",0,MIN(100,M315/MAX($M$10:$M$511)*100))</f>
        <v>6.6800267201068811E-2</v>
      </c>
      <c r="U315" s="29">
        <f>MIN(100,IF(O315="Yes",50,0)+IF(N315="Yes",30,0)+IF(P315="Yes",20,0))</f>
        <v>0</v>
      </c>
      <c r="V315" s="30">
        <f>ROUND(U315*$C$3+S315*$C$4+T315*$C$5+R315*$C$6,1)</f>
        <v>11.8</v>
      </c>
      <c r="W315" s="9" t="s">
        <v>597</v>
      </c>
    </row>
    <row r="316" spans="1:23" ht="21.75" customHeight="1" x14ac:dyDescent="0.2">
      <c r="A316" s="23">
        <v>350</v>
      </c>
      <c r="B316" s="9" t="s">
        <v>476</v>
      </c>
      <c r="C316" s="9" t="s">
        <v>823</v>
      </c>
      <c r="D316" s="9" t="s">
        <v>478</v>
      </c>
      <c r="E316" s="9" t="s">
        <v>824</v>
      </c>
      <c r="F316" s="24">
        <v>1445</v>
      </c>
      <c r="G316" s="24">
        <v>945</v>
      </c>
      <c r="H316" s="24">
        <v>1445</v>
      </c>
      <c r="I316" s="25">
        <v>2</v>
      </c>
      <c r="J316" s="25">
        <v>10.3</v>
      </c>
      <c r="K316" s="26">
        <v>1.2E-2</v>
      </c>
      <c r="L316" s="26">
        <v>5.0000000000000001E-3</v>
      </c>
      <c r="M316" s="24">
        <v>171</v>
      </c>
      <c r="N316" s="31"/>
      <c r="O316" s="28" t="s">
        <v>345</v>
      </c>
      <c r="P316" s="28"/>
      <c r="Q316" s="28" t="s">
        <v>345</v>
      </c>
      <c r="R316" s="29">
        <f>LN(F316+1)/LN(MAX($F$10:$F$511)+1)*100</f>
        <v>73.35783707220736</v>
      </c>
      <c r="S316" s="29">
        <f>IF(H316=0,0,(K316*0.5+L316*0.5)*100)</f>
        <v>0.85000000000000009</v>
      </c>
      <c r="T316" s="29">
        <f>IF(M316="",0,MIN(100,M316/MAX($M$10:$M$511)*100))</f>
        <v>2.2845691382765532</v>
      </c>
      <c r="U316" s="29">
        <f>MIN(100,IF(O316="Yes",50,0)+IF(N316="Yes",30,0)+IF(P316="Yes",20,0))</f>
        <v>0</v>
      </c>
      <c r="V316" s="30">
        <f>ROUND(U316*$C$3+S316*$C$4+T316*$C$5+R316*$C$6,1)</f>
        <v>11.8</v>
      </c>
      <c r="W316" s="9" t="s">
        <v>652</v>
      </c>
    </row>
    <row r="317" spans="1:23" ht="32.25" customHeight="1" x14ac:dyDescent="0.2">
      <c r="A317" s="23">
        <v>351</v>
      </c>
      <c r="B317" s="9" t="s">
        <v>416</v>
      </c>
      <c r="C317" s="9" t="s">
        <v>825</v>
      </c>
      <c r="D317" s="9"/>
      <c r="E317" s="9" t="s">
        <v>826</v>
      </c>
      <c r="F317" s="24">
        <v>13</v>
      </c>
      <c r="G317" s="24">
        <v>34</v>
      </c>
      <c r="H317" s="24">
        <v>13</v>
      </c>
      <c r="I317" s="25">
        <v>125.8</v>
      </c>
      <c r="J317" s="25">
        <v>97.8</v>
      </c>
      <c r="K317" s="26">
        <v>0.61499999999999999</v>
      </c>
      <c r="L317" s="26">
        <v>0</v>
      </c>
      <c r="M317" s="24">
        <v>30</v>
      </c>
      <c r="N317" s="31"/>
      <c r="O317" s="28" t="s">
        <v>345</v>
      </c>
      <c r="P317" s="28"/>
      <c r="Q317" s="28" t="s">
        <v>345</v>
      </c>
      <c r="R317" s="29">
        <f>LN(F317+1)/LN(MAX($F$10:$F$511)+1)*100</f>
        <v>26.605378546615604</v>
      </c>
      <c r="S317" s="29">
        <f>IF(H317=0,0,(K317*0.5+L317*0.5)*100)</f>
        <v>30.75</v>
      </c>
      <c r="T317" s="29">
        <f>IF(M317="",0,MIN(100,M317/MAX($M$10:$M$511)*100))</f>
        <v>0.40080160320641278</v>
      </c>
      <c r="U317" s="29">
        <f>MIN(100,IF(O317="Yes",50,0)+IF(N317="Yes",30,0)+IF(P317="Yes",20,0))</f>
        <v>0</v>
      </c>
      <c r="V317" s="30">
        <f>ROUND(U317*$C$3+S317*$C$4+T317*$C$5+R317*$C$6,1)</f>
        <v>11.8</v>
      </c>
      <c r="W317" s="9" t="s">
        <v>827</v>
      </c>
    </row>
    <row r="318" spans="1:23" ht="21.75" customHeight="1" x14ac:dyDescent="0.2">
      <c r="A318" s="23">
        <v>76</v>
      </c>
      <c r="B318" s="9" t="s">
        <v>476</v>
      </c>
      <c r="C318" s="9" t="s">
        <v>477</v>
      </c>
      <c r="D318" s="9" t="s">
        <v>193</v>
      </c>
      <c r="E318" s="9" t="s">
        <v>479</v>
      </c>
      <c r="F318" s="24">
        <v>21</v>
      </c>
      <c r="G318" s="24">
        <v>109</v>
      </c>
      <c r="H318" s="24">
        <v>21</v>
      </c>
      <c r="I318" s="25">
        <v>0.1</v>
      </c>
      <c r="J318" s="25">
        <v>0.4</v>
      </c>
      <c r="K318" s="26">
        <v>0</v>
      </c>
      <c r="L318" s="26">
        <v>0</v>
      </c>
      <c r="M318" s="27"/>
      <c r="N318" s="28" t="s">
        <v>345</v>
      </c>
      <c r="O318" s="28" t="s">
        <v>345</v>
      </c>
      <c r="P318" s="28" t="s">
        <v>344</v>
      </c>
      <c r="Q318" s="28" t="s">
        <v>345</v>
      </c>
      <c r="R318" s="29">
        <f>LN(F318+1)/LN(MAX($F$10:$F$511)+1)*100</f>
        <v>31.16201897260289</v>
      </c>
      <c r="S318" s="29">
        <f>IF(H318=0,0,(K318*0.5+L318*0.5)*100)</f>
        <v>0</v>
      </c>
      <c r="T318" s="29">
        <f>IF(M318="",0,MIN(100,M318/MAX($M$10:$M$511)*100))</f>
        <v>0</v>
      </c>
      <c r="U318" s="29">
        <f>MIN(100,IF(O318="Yes",50,0)+IF(N318="Yes",30,0)+IF(P318="Yes",20,0))</f>
        <v>20</v>
      </c>
      <c r="V318" s="30">
        <f>ROUND(U318*$C$3+S318*$C$4+T318*$C$5+R318*$C$6,1)</f>
        <v>11.7</v>
      </c>
      <c r="W318" s="9" t="s">
        <v>379</v>
      </c>
    </row>
    <row r="319" spans="1:23" ht="21.75" customHeight="1" x14ac:dyDescent="0.2">
      <c r="A319" s="23">
        <v>352</v>
      </c>
      <c r="B319" s="9" t="s">
        <v>366</v>
      </c>
      <c r="C319" s="9" t="s">
        <v>751</v>
      </c>
      <c r="D319" s="9" t="s">
        <v>218</v>
      </c>
      <c r="E319" s="9" t="s">
        <v>369</v>
      </c>
      <c r="F319" s="24">
        <v>276</v>
      </c>
      <c r="G319" s="24">
        <v>355</v>
      </c>
      <c r="H319" s="24">
        <v>276</v>
      </c>
      <c r="I319" s="25">
        <v>31.1</v>
      </c>
      <c r="J319" s="25">
        <v>52.5</v>
      </c>
      <c r="K319" s="26">
        <v>0.23899999999999999</v>
      </c>
      <c r="L319" s="26">
        <v>7.0000000000000001E-3</v>
      </c>
      <c r="M319" s="24">
        <v>1</v>
      </c>
      <c r="N319" s="31"/>
      <c r="O319" s="28" t="s">
        <v>345</v>
      </c>
      <c r="P319" s="28"/>
      <c r="Q319" s="28" t="s">
        <v>345</v>
      </c>
      <c r="R319" s="29">
        <f>LN(F319+1)/LN(MAX($F$10:$F$511)+1)*100</f>
        <v>56.697940217434109</v>
      </c>
      <c r="S319" s="29">
        <f>IF(H319=0,0,(K319*0.5+L319*0.5)*100)</f>
        <v>12.3</v>
      </c>
      <c r="T319" s="29">
        <f>IF(M319="",0,MIN(100,M319/MAX($M$10:$M$511)*100))</f>
        <v>1.3360053440213761E-2</v>
      </c>
      <c r="U319" s="29">
        <f>MIN(100,IF(O319="Yes",50,0)+IF(N319="Yes",30,0)+IF(P319="Yes",20,0))</f>
        <v>0</v>
      </c>
      <c r="V319" s="30">
        <f>ROUND(U319*$C$3+S319*$C$4+T319*$C$5+R319*$C$6,1)</f>
        <v>11.6</v>
      </c>
      <c r="W319" s="9" t="s">
        <v>652</v>
      </c>
    </row>
    <row r="320" spans="1:23" ht="21.75" customHeight="1" x14ac:dyDescent="0.2">
      <c r="A320" s="23">
        <v>353</v>
      </c>
      <c r="B320" s="9" t="s">
        <v>366</v>
      </c>
      <c r="C320" s="9" t="s">
        <v>794</v>
      </c>
      <c r="D320" s="9" t="s">
        <v>828</v>
      </c>
      <c r="E320" s="9" t="s">
        <v>369</v>
      </c>
      <c r="F320" s="24">
        <v>123</v>
      </c>
      <c r="G320" s="24">
        <v>155</v>
      </c>
      <c r="H320" s="24">
        <v>123</v>
      </c>
      <c r="I320" s="25">
        <v>49.6</v>
      </c>
      <c r="J320" s="25">
        <v>67.599999999999994</v>
      </c>
      <c r="K320" s="26">
        <v>0.24399999999999999</v>
      </c>
      <c r="L320" s="26">
        <v>8.1000000000000003E-2</v>
      </c>
      <c r="M320" s="24">
        <v>58</v>
      </c>
      <c r="N320" s="31"/>
      <c r="O320" s="28" t="s">
        <v>345</v>
      </c>
      <c r="P320" s="28"/>
      <c r="Q320" s="28" t="s">
        <v>345</v>
      </c>
      <c r="R320" s="29">
        <f>LN(F320+1)/LN(MAX($F$10:$F$511)+1)*100</f>
        <v>48.595160974730135</v>
      </c>
      <c r="S320" s="29">
        <f>IF(H320=0,0,(K320*0.5+L320*0.5)*100)</f>
        <v>16.25</v>
      </c>
      <c r="T320" s="29">
        <f>IF(M320="",0,MIN(100,M320/MAX($M$10:$M$511)*100))</f>
        <v>0.77488309953239809</v>
      </c>
      <c r="U320" s="29">
        <f>MIN(100,IF(O320="Yes",50,0)+IF(N320="Yes",30,0)+IF(P320="Yes",20,0))</f>
        <v>0</v>
      </c>
      <c r="V320" s="30">
        <f>ROUND(U320*$C$3+S320*$C$4+T320*$C$5+R320*$C$6,1)</f>
        <v>11.5</v>
      </c>
      <c r="W320" s="9" t="s">
        <v>652</v>
      </c>
    </row>
    <row r="321" spans="1:23" ht="21.75" customHeight="1" x14ac:dyDescent="0.2">
      <c r="A321" s="23">
        <v>354</v>
      </c>
      <c r="B321" s="9" t="s">
        <v>280</v>
      </c>
      <c r="C321" s="9" t="s">
        <v>492</v>
      </c>
      <c r="D321" s="9" t="s">
        <v>829</v>
      </c>
      <c r="E321" s="9" t="s">
        <v>503</v>
      </c>
      <c r="F321" s="24">
        <v>14</v>
      </c>
      <c r="G321" s="24">
        <v>37</v>
      </c>
      <c r="H321" s="24">
        <v>14</v>
      </c>
      <c r="I321" s="25">
        <v>91.5</v>
      </c>
      <c r="J321" s="25">
        <v>80.2</v>
      </c>
      <c r="K321" s="26">
        <v>0.57099999999999995</v>
      </c>
      <c r="L321" s="26">
        <v>0</v>
      </c>
      <c r="M321" s="24">
        <v>17</v>
      </c>
      <c r="N321" s="31"/>
      <c r="O321" s="28" t="s">
        <v>345</v>
      </c>
      <c r="P321" s="28"/>
      <c r="Q321" s="28" t="s">
        <v>345</v>
      </c>
      <c r="R321" s="29">
        <f>LN(F321+1)/LN(MAX($F$10:$F$511)+1)*100</f>
        <v>27.300922914799507</v>
      </c>
      <c r="S321" s="29">
        <f>IF(H321=0,0,(K321*0.5+L321*0.5)*100)</f>
        <v>28.549999999999997</v>
      </c>
      <c r="T321" s="29">
        <f>IF(M321="",0,MIN(100,M321/MAX($M$10:$M$511)*100))</f>
        <v>0.22712090848363395</v>
      </c>
      <c r="U321" s="29">
        <f>MIN(100,IF(O321="Yes",50,0)+IF(N321="Yes",30,0)+IF(P321="Yes",20,0))</f>
        <v>0</v>
      </c>
      <c r="V321" s="30">
        <f>ROUND(U321*$C$3+S321*$C$4+T321*$C$5+R321*$C$6,1)</f>
        <v>11.3</v>
      </c>
      <c r="W321" s="9" t="s">
        <v>370</v>
      </c>
    </row>
    <row r="322" spans="1:23" ht="32.25" customHeight="1" x14ac:dyDescent="0.2">
      <c r="A322" s="23">
        <v>355</v>
      </c>
      <c r="B322" s="9" t="s">
        <v>416</v>
      </c>
      <c r="C322" s="9" t="s">
        <v>830</v>
      </c>
      <c r="D322" s="9" t="s">
        <v>195</v>
      </c>
      <c r="E322" s="9" t="s">
        <v>595</v>
      </c>
      <c r="F322" s="24">
        <v>140</v>
      </c>
      <c r="G322" s="24">
        <v>57</v>
      </c>
      <c r="H322" s="24">
        <v>140</v>
      </c>
      <c r="I322" s="25">
        <v>63.8</v>
      </c>
      <c r="J322" s="25">
        <v>67.400000000000006</v>
      </c>
      <c r="K322" s="26">
        <v>0.28599999999999998</v>
      </c>
      <c r="L322" s="26">
        <v>0</v>
      </c>
      <c r="M322" s="24">
        <v>25</v>
      </c>
      <c r="N322" s="31"/>
      <c r="O322" s="28" t="s">
        <v>345</v>
      </c>
      <c r="P322" s="28"/>
      <c r="Q322" s="28" t="s">
        <v>345</v>
      </c>
      <c r="R322" s="29">
        <f>LN(F322+1)/LN(MAX($F$10:$F$511)+1)*100</f>
        <v>49.890401675743064</v>
      </c>
      <c r="S322" s="29">
        <f>IF(H322=0,0,(K322*0.5+L322*0.5)*100)</f>
        <v>14.299999999999999</v>
      </c>
      <c r="T322" s="29">
        <f>IF(M322="",0,MIN(100,M322/MAX($M$10:$M$511)*100))</f>
        <v>0.33400133600534404</v>
      </c>
      <c r="U322" s="29">
        <f>MIN(100,IF(O322="Yes",50,0)+IF(N322="Yes",30,0)+IF(P322="Yes",20,0))</f>
        <v>0</v>
      </c>
      <c r="V322" s="30">
        <f>ROUND(U322*$C$3+S322*$C$4+T322*$C$5+R322*$C$6,1)</f>
        <v>11.1</v>
      </c>
      <c r="W322" s="9" t="s">
        <v>652</v>
      </c>
    </row>
    <row r="323" spans="1:23" ht="32.25" customHeight="1" x14ac:dyDescent="0.2">
      <c r="A323" s="23">
        <v>356</v>
      </c>
      <c r="B323" s="9" t="s">
        <v>476</v>
      </c>
      <c r="C323" s="9" t="s">
        <v>831</v>
      </c>
      <c r="D323" s="9" t="s">
        <v>478</v>
      </c>
      <c r="E323" s="9" t="s">
        <v>824</v>
      </c>
      <c r="F323" s="24">
        <v>667</v>
      </c>
      <c r="G323" s="24">
        <v>345</v>
      </c>
      <c r="H323" s="24">
        <v>667</v>
      </c>
      <c r="I323" s="25">
        <v>0.7</v>
      </c>
      <c r="J323" s="25">
        <v>21.4</v>
      </c>
      <c r="K323" s="26">
        <v>5.7000000000000002E-2</v>
      </c>
      <c r="L323" s="26">
        <v>4.5999999999999999E-2</v>
      </c>
      <c r="M323" s="24">
        <v>4</v>
      </c>
      <c r="N323" s="31"/>
      <c r="O323" s="28" t="s">
        <v>345</v>
      </c>
      <c r="P323" s="28"/>
      <c r="Q323" s="28" t="s">
        <v>345</v>
      </c>
      <c r="R323" s="29">
        <f>LN(F323+1)/LN(MAX($F$10:$F$511)+1)*100</f>
        <v>65.572296248087127</v>
      </c>
      <c r="S323" s="29">
        <f>IF(H323=0,0,(K323*0.5+L323*0.5)*100)</f>
        <v>5.15</v>
      </c>
      <c r="T323" s="29">
        <f>IF(M323="",0,MIN(100,M323/MAX($M$10:$M$511)*100))</f>
        <v>5.3440213760855046E-2</v>
      </c>
      <c r="U323" s="29">
        <f>MIN(100,IF(O323="Yes",50,0)+IF(N323="Yes",30,0)+IF(P323="Yes",20,0))</f>
        <v>0</v>
      </c>
      <c r="V323" s="30">
        <f>ROUND(U323*$C$3+S323*$C$4+T323*$C$5+R323*$C$6,1)</f>
        <v>11.1</v>
      </c>
      <c r="W323" s="9" t="s">
        <v>652</v>
      </c>
    </row>
    <row r="324" spans="1:23" ht="21.75" customHeight="1" x14ac:dyDescent="0.2">
      <c r="A324" s="23">
        <v>357</v>
      </c>
      <c r="B324" s="9" t="s">
        <v>384</v>
      </c>
      <c r="C324" s="9" t="s">
        <v>761</v>
      </c>
      <c r="D324" s="9" t="s">
        <v>821</v>
      </c>
      <c r="E324" s="9" t="s">
        <v>657</v>
      </c>
      <c r="F324" s="24">
        <v>36</v>
      </c>
      <c r="G324" s="24">
        <v>128</v>
      </c>
      <c r="H324" s="24">
        <v>36</v>
      </c>
      <c r="I324" s="25">
        <v>29.3</v>
      </c>
      <c r="J324" s="25">
        <v>66.2</v>
      </c>
      <c r="K324" s="26">
        <v>0.25</v>
      </c>
      <c r="L324" s="26">
        <v>0.111</v>
      </c>
      <c r="M324" s="24">
        <v>302</v>
      </c>
      <c r="N324" s="31"/>
      <c r="O324" s="28" t="s">
        <v>345</v>
      </c>
      <c r="P324" s="28"/>
      <c r="Q324" s="28" t="s">
        <v>345</v>
      </c>
      <c r="R324" s="29">
        <f>LN(F324+1)/LN(MAX($F$10:$F$511)+1)*100</f>
        <v>36.403088666762848</v>
      </c>
      <c r="S324" s="29">
        <f>IF(H324=0,0,(K324*0.5+L324*0.5)*100)</f>
        <v>18.05</v>
      </c>
      <c r="T324" s="29">
        <f>IF(M324="",0,MIN(100,M324/MAX($M$10:$M$511)*100))</f>
        <v>4.034736138944556</v>
      </c>
      <c r="U324" s="29">
        <f>MIN(100,IF(O324="Yes",50,0)+IF(N324="Yes",30,0)+IF(P324="Yes",20,0))</f>
        <v>0</v>
      </c>
      <c r="V324" s="30">
        <f>ROUND(U324*$C$3+S324*$C$4+T324*$C$5+R324*$C$6,1)</f>
        <v>11</v>
      </c>
      <c r="W324" s="9" t="s">
        <v>370</v>
      </c>
    </row>
    <row r="325" spans="1:23" ht="21.75" customHeight="1" x14ac:dyDescent="0.2">
      <c r="A325" s="23">
        <v>358</v>
      </c>
      <c r="B325" s="9" t="s">
        <v>476</v>
      </c>
      <c r="C325" s="9" t="s">
        <v>742</v>
      </c>
      <c r="D325" s="9" t="s">
        <v>832</v>
      </c>
      <c r="E325" s="9" t="s">
        <v>479</v>
      </c>
      <c r="F325" s="24">
        <v>8</v>
      </c>
      <c r="G325" s="24">
        <v>3351</v>
      </c>
      <c r="H325" s="24">
        <v>8</v>
      </c>
      <c r="I325" s="25">
        <v>0.1</v>
      </c>
      <c r="J325" s="25">
        <v>0.7</v>
      </c>
      <c r="K325" s="26">
        <v>0</v>
      </c>
      <c r="L325" s="26">
        <v>0</v>
      </c>
      <c r="M325" s="24">
        <v>186</v>
      </c>
      <c r="N325" s="28" t="s">
        <v>345</v>
      </c>
      <c r="O325" s="28" t="s">
        <v>345</v>
      </c>
      <c r="P325" s="28" t="s">
        <v>344</v>
      </c>
      <c r="Q325" s="28" t="s">
        <v>345</v>
      </c>
      <c r="R325" s="29">
        <f>LN(F325+1)/LN(MAX($F$10:$F$511)+1)*100</f>
        <v>22.151088184385912</v>
      </c>
      <c r="S325" s="29">
        <f>IF(H325=0,0,(K325*0.5+L325*0.5)*100)</f>
        <v>0</v>
      </c>
      <c r="T325" s="29">
        <f>IF(M325="",0,MIN(100,M325/MAX($M$10:$M$511)*100))</f>
        <v>2.4849699398797593</v>
      </c>
      <c r="U325" s="29">
        <f>MIN(100,IF(O325="Yes",50,0)+IF(N325="Yes",30,0)+IF(P325="Yes",20,0))</f>
        <v>20</v>
      </c>
      <c r="V325" s="30">
        <f>ROUND(U325*$C$3+S325*$C$4+T325*$C$5+R325*$C$6,1)</f>
        <v>10.9</v>
      </c>
      <c r="W325" s="9" t="s">
        <v>388</v>
      </c>
    </row>
    <row r="326" spans="1:23" ht="21.75" customHeight="1" x14ac:dyDescent="0.2">
      <c r="A326" s="23">
        <v>359</v>
      </c>
      <c r="B326" s="9" t="s">
        <v>366</v>
      </c>
      <c r="C326" s="9" t="s">
        <v>833</v>
      </c>
      <c r="D326" s="9" t="s">
        <v>752</v>
      </c>
      <c r="E326" s="9" t="s">
        <v>497</v>
      </c>
      <c r="F326" s="24">
        <v>124</v>
      </c>
      <c r="G326" s="24">
        <v>61</v>
      </c>
      <c r="H326" s="24">
        <v>124</v>
      </c>
      <c r="I326" s="25">
        <v>30.5</v>
      </c>
      <c r="J326" s="25">
        <v>49.1</v>
      </c>
      <c r="K326" s="26">
        <v>0.27400000000000002</v>
      </c>
      <c r="L326" s="26">
        <v>8.0000000000000002E-3</v>
      </c>
      <c r="M326" s="24">
        <v>1</v>
      </c>
      <c r="N326" s="31"/>
      <c r="O326" s="28" t="s">
        <v>345</v>
      </c>
      <c r="P326" s="28"/>
      <c r="Q326" s="28" t="s">
        <v>345</v>
      </c>
      <c r="R326" s="29">
        <f>LN(F326+1)/LN(MAX($F$10:$F$511)+1)*100</f>
        <v>48.676136467819667</v>
      </c>
      <c r="S326" s="29">
        <f>IF(H326=0,0,(K326*0.5+L326*0.5)*100)</f>
        <v>14.100000000000001</v>
      </c>
      <c r="T326" s="29">
        <f>IF(M326="",0,MIN(100,M326/MAX($M$10:$M$511)*100))</f>
        <v>1.3360053440213761E-2</v>
      </c>
      <c r="U326" s="29">
        <f>MIN(100,IF(O326="Yes",50,0)+IF(N326="Yes",30,0)+IF(P326="Yes",20,0))</f>
        <v>0</v>
      </c>
      <c r="V326" s="30">
        <f>ROUND(U326*$C$3+S326*$C$4+T326*$C$5+R326*$C$6,1)</f>
        <v>10.8</v>
      </c>
      <c r="W326" s="9" t="s">
        <v>652</v>
      </c>
    </row>
    <row r="327" spans="1:23" ht="21.75" customHeight="1" x14ac:dyDescent="0.2">
      <c r="A327" s="23">
        <v>360</v>
      </c>
      <c r="B327" s="9" t="s">
        <v>366</v>
      </c>
      <c r="C327" s="9" t="s">
        <v>790</v>
      </c>
      <c r="D327" s="9" t="s">
        <v>834</v>
      </c>
      <c r="E327" s="9" t="s">
        <v>550</v>
      </c>
      <c r="F327" s="24">
        <v>3</v>
      </c>
      <c r="G327" s="24">
        <v>69</v>
      </c>
      <c r="H327" s="24">
        <v>3</v>
      </c>
      <c r="I327" s="25">
        <v>119.5</v>
      </c>
      <c r="J327" s="25">
        <v>100.7</v>
      </c>
      <c r="K327" s="26">
        <v>0.66700000000000004</v>
      </c>
      <c r="L327" s="26">
        <v>0</v>
      </c>
      <c r="M327" s="24">
        <v>57</v>
      </c>
      <c r="N327" s="31"/>
      <c r="O327" s="28" t="s">
        <v>345</v>
      </c>
      <c r="P327" s="28"/>
      <c r="Q327" s="28" t="s">
        <v>345</v>
      </c>
      <c r="R327" s="29">
        <f>LN(F327+1)/LN(MAX($F$10:$F$511)+1)*100</f>
        <v>13.975780609514226</v>
      </c>
      <c r="S327" s="29">
        <f>IF(H327=0,0,(K327*0.5+L327*0.5)*100)</f>
        <v>33.35</v>
      </c>
      <c r="T327" s="29">
        <f>IF(M327="",0,MIN(100,M327/MAX($M$10:$M$511)*100))</f>
        <v>0.76152304609218435</v>
      </c>
      <c r="U327" s="29">
        <f>MIN(100,IF(O327="Yes",50,0)+IF(N327="Yes",30,0)+IF(P327="Yes",20,0))</f>
        <v>0</v>
      </c>
      <c r="V327" s="30">
        <f>ROUND(U327*$C$3+S327*$C$4+T327*$C$5+R327*$C$6,1)</f>
        <v>10.6</v>
      </c>
      <c r="W327" s="9" t="s">
        <v>597</v>
      </c>
    </row>
    <row r="328" spans="1:23" ht="21.75" customHeight="1" x14ac:dyDescent="0.2">
      <c r="A328" s="23">
        <v>361</v>
      </c>
      <c r="B328" s="9" t="s">
        <v>384</v>
      </c>
      <c r="C328" s="9" t="s">
        <v>761</v>
      </c>
      <c r="D328" s="9" t="s">
        <v>775</v>
      </c>
      <c r="E328" s="9" t="s">
        <v>657</v>
      </c>
      <c r="F328" s="24">
        <v>8</v>
      </c>
      <c r="G328" s="24">
        <v>128</v>
      </c>
      <c r="H328" s="24">
        <v>8</v>
      </c>
      <c r="I328" s="25">
        <v>78.8</v>
      </c>
      <c r="J328" s="25">
        <v>97.3</v>
      </c>
      <c r="K328" s="26">
        <v>0.375</v>
      </c>
      <c r="L328" s="26">
        <v>0.125</v>
      </c>
      <c r="M328" s="24">
        <v>302</v>
      </c>
      <c r="N328" s="31"/>
      <c r="O328" s="28" t="s">
        <v>345</v>
      </c>
      <c r="P328" s="28"/>
      <c r="Q328" s="28" t="s">
        <v>345</v>
      </c>
      <c r="R328" s="29">
        <f>LN(F328+1)/LN(MAX($F$10:$F$511)+1)*100</f>
        <v>22.151088184385912</v>
      </c>
      <c r="S328" s="29">
        <f>IF(H328=0,0,(K328*0.5+L328*0.5)*100)</f>
        <v>25</v>
      </c>
      <c r="T328" s="29">
        <f>IF(M328="",0,MIN(100,M328/MAX($M$10:$M$511)*100))</f>
        <v>4.034736138944556</v>
      </c>
      <c r="U328" s="29">
        <f>MIN(100,IF(O328="Yes",50,0)+IF(N328="Yes",30,0)+IF(P328="Yes",20,0))</f>
        <v>0</v>
      </c>
      <c r="V328" s="30">
        <f>ROUND(U328*$C$3+S328*$C$4+T328*$C$5+R328*$C$6,1)</f>
        <v>10.6</v>
      </c>
      <c r="W328" s="9" t="s">
        <v>597</v>
      </c>
    </row>
    <row r="329" spans="1:23" ht="15" customHeight="1" x14ac:dyDescent="0.2">
      <c r="A329" s="23">
        <v>362</v>
      </c>
      <c r="B329" s="9" t="s">
        <v>416</v>
      </c>
      <c r="C329" s="9" t="s">
        <v>631</v>
      </c>
      <c r="D329" s="9" t="s">
        <v>663</v>
      </c>
      <c r="E329" s="9" t="s">
        <v>418</v>
      </c>
      <c r="F329" s="24">
        <v>3</v>
      </c>
      <c r="G329" s="24">
        <v>22</v>
      </c>
      <c r="H329" s="24">
        <v>3</v>
      </c>
      <c r="I329" s="25">
        <v>71.8</v>
      </c>
      <c r="J329" s="25">
        <v>141</v>
      </c>
      <c r="K329" s="26">
        <v>0.33300000000000002</v>
      </c>
      <c r="L329" s="26">
        <v>0.33300000000000002</v>
      </c>
      <c r="M329" s="24">
        <v>17</v>
      </c>
      <c r="N329" s="31"/>
      <c r="O329" s="28" t="s">
        <v>345</v>
      </c>
      <c r="P329" s="28"/>
      <c r="Q329" s="28" t="s">
        <v>344</v>
      </c>
      <c r="R329" s="29">
        <f>LN(F329+1)/LN(MAX($F$10:$F$511)+1)*100</f>
        <v>13.975780609514226</v>
      </c>
      <c r="S329" s="29">
        <f>IF(H329=0,0,(K329*0.5+L329*0.5)*100)</f>
        <v>33.300000000000004</v>
      </c>
      <c r="T329" s="29">
        <f>IF(M329="",0,MIN(100,M329/MAX($M$10:$M$511)*100))</f>
        <v>0.22712090848363395</v>
      </c>
      <c r="U329" s="29">
        <f>MIN(100,IF(O329="Yes",50,0)+IF(N329="Yes",30,0)+IF(P329="Yes",20,0))</f>
        <v>0</v>
      </c>
      <c r="V329" s="30">
        <f>ROUND(U329*$C$3+S329*$C$4+T329*$C$5+R329*$C$6,1)</f>
        <v>10.5</v>
      </c>
      <c r="W329" s="9" t="s">
        <v>597</v>
      </c>
    </row>
    <row r="330" spans="1:23" ht="21.75" customHeight="1" x14ac:dyDescent="0.2">
      <c r="A330" s="23">
        <v>363</v>
      </c>
      <c r="B330" s="9" t="s">
        <v>416</v>
      </c>
      <c r="C330" s="9" t="s">
        <v>835</v>
      </c>
      <c r="D330" s="9" t="s">
        <v>195</v>
      </c>
      <c r="E330" s="9" t="s">
        <v>634</v>
      </c>
      <c r="F330" s="24">
        <v>3</v>
      </c>
      <c r="G330" s="24">
        <v>2</v>
      </c>
      <c r="H330" s="24">
        <v>3</v>
      </c>
      <c r="I330" s="25">
        <v>33.1</v>
      </c>
      <c r="J330" s="25">
        <v>109</v>
      </c>
      <c r="K330" s="26">
        <v>0.33300000000000002</v>
      </c>
      <c r="L330" s="26">
        <v>0.33300000000000002</v>
      </c>
      <c r="M330" s="24">
        <v>3</v>
      </c>
      <c r="N330" s="31"/>
      <c r="O330" s="28" t="s">
        <v>345</v>
      </c>
      <c r="P330" s="28"/>
      <c r="Q330" s="28" t="s">
        <v>345</v>
      </c>
      <c r="R330" s="29">
        <f>LN(F330+1)/LN(MAX($F$10:$F$511)+1)*100</f>
        <v>13.975780609514226</v>
      </c>
      <c r="S330" s="29">
        <f>IF(H330=0,0,(K330*0.5+L330*0.5)*100)</f>
        <v>33.300000000000004</v>
      </c>
      <c r="T330" s="29">
        <f>IF(M330="",0,MIN(100,M330/MAX($M$10:$M$511)*100))</f>
        <v>4.0080160320641281E-2</v>
      </c>
      <c r="U330" s="29">
        <f>MIN(100,IF(O330="Yes",50,0)+IF(N330="Yes",30,0)+IF(P330="Yes",20,0))</f>
        <v>0</v>
      </c>
      <c r="V330" s="30">
        <f>ROUND(U330*$C$3+S330*$C$4+T330*$C$5+R330*$C$6,1)</f>
        <v>10.4</v>
      </c>
      <c r="W330" s="9" t="s">
        <v>738</v>
      </c>
    </row>
    <row r="331" spans="1:23" ht="21.75" customHeight="1" x14ac:dyDescent="0.2">
      <c r="A331" s="23">
        <v>364</v>
      </c>
      <c r="B331" s="9" t="s">
        <v>416</v>
      </c>
      <c r="C331" s="9" t="s">
        <v>797</v>
      </c>
      <c r="D331" s="9" t="s">
        <v>663</v>
      </c>
      <c r="E331" s="9" t="s">
        <v>767</v>
      </c>
      <c r="F331" s="24">
        <v>3</v>
      </c>
      <c r="G331" s="24">
        <v>6</v>
      </c>
      <c r="H331" s="24">
        <v>3</v>
      </c>
      <c r="I331" s="25">
        <v>77</v>
      </c>
      <c r="J331" s="25">
        <v>131.6</v>
      </c>
      <c r="K331" s="26">
        <v>0.33300000000000002</v>
      </c>
      <c r="L331" s="26">
        <v>0.33300000000000002</v>
      </c>
      <c r="M331" s="24">
        <v>1</v>
      </c>
      <c r="N331" s="31"/>
      <c r="O331" s="28" t="s">
        <v>345</v>
      </c>
      <c r="P331" s="28"/>
      <c r="Q331" s="28" t="s">
        <v>345</v>
      </c>
      <c r="R331" s="29">
        <f>LN(F331+1)/LN(MAX($F$10:$F$511)+1)*100</f>
        <v>13.975780609514226</v>
      </c>
      <c r="S331" s="29">
        <f>IF(H331=0,0,(K331*0.5+L331*0.5)*100)</f>
        <v>33.300000000000004</v>
      </c>
      <c r="T331" s="29">
        <f>IF(M331="",0,MIN(100,M331/MAX($M$10:$M$511)*100))</f>
        <v>1.3360053440213761E-2</v>
      </c>
      <c r="U331" s="29">
        <f>MIN(100,IF(O331="Yes",50,0)+IF(N331="Yes",30,0)+IF(P331="Yes",20,0))</f>
        <v>0</v>
      </c>
      <c r="V331" s="30">
        <f>ROUND(U331*$C$3+S331*$C$4+T331*$C$5+R331*$C$6,1)</f>
        <v>10.4</v>
      </c>
      <c r="W331" s="9" t="s">
        <v>738</v>
      </c>
    </row>
    <row r="332" spans="1:23" ht="21.75" customHeight="1" x14ac:dyDescent="0.2">
      <c r="A332" s="23">
        <v>365</v>
      </c>
      <c r="B332" s="9" t="s">
        <v>384</v>
      </c>
      <c r="C332" s="9" t="s">
        <v>525</v>
      </c>
      <c r="D332" s="9" t="s">
        <v>803</v>
      </c>
      <c r="E332" s="9" t="s">
        <v>501</v>
      </c>
      <c r="F332" s="24">
        <v>8</v>
      </c>
      <c r="G332" s="24">
        <v>6</v>
      </c>
      <c r="H332" s="24">
        <v>8</v>
      </c>
      <c r="I332" s="25">
        <v>30.4</v>
      </c>
      <c r="J332" s="25">
        <v>29.8</v>
      </c>
      <c r="K332" s="26">
        <v>0</v>
      </c>
      <c r="L332" s="26">
        <v>0</v>
      </c>
      <c r="M332" s="24">
        <v>8</v>
      </c>
      <c r="N332" s="28" t="s">
        <v>345</v>
      </c>
      <c r="O332" s="28" t="s">
        <v>345</v>
      </c>
      <c r="P332" s="28" t="s">
        <v>344</v>
      </c>
      <c r="Q332" s="28" t="s">
        <v>345</v>
      </c>
      <c r="R332" s="29">
        <f>LN(F332+1)/LN(MAX($F$10:$F$511)+1)*100</f>
        <v>22.151088184385912</v>
      </c>
      <c r="S332" s="29">
        <f>IF(H332=0,0,(K332*0.5+L332*0.5)*100)</f>
        <v>0</v>
      </c>
      <c r="T332" s="29">
        <f>IF(M332="",0,MIN(100,M332/MAX($M$10:$M$511)*100))</f>
        <v>0.10688042752171009</v>
      </c>
      <c r="U332" s="29">
        <f>MIN(100,IF(O332="Yes",50,0)+IF(N332="Yes",30,0)+IF(P332="Yes",20,0))</f>
        <v>20</v>
      </c>
      <c r="V332" s="30">
        <f>ROUND(U332*$C$3+S332*$C$4+T332*$C$5+R332*$C$6,1)</f>
        <v>10.3</v>
      </c>
      <c r="W332" s="9" t="s">
        <v>451</v>
      </c>
    </row>
    <row r="333" spans="1:23" ht="32.25" customHeight="1" x14ac:dyDescent="0.2">
      <c r="A333" s="23">
        <v>366</v>
      </c>
      <c r="B333" s="9" t="s">
        <v>476</v>
      </c>
      <c r="C333" s="9" t="s">
        <v>742</v>
      </c>
      <c r="D333" s="9" t="s">
        <v>836</v>
      </c>
      <c r="E333" s="9" t="s">
        <v>479</v>
      </c>
      <c r="F333" s="24">
        <v>5</v>
      </c>
      <c r="G333" s="24">
        <v>3351</v>
      </c>
      <c r="H333" s="24">
        <v>5</v>
      </c>
      <c r="I333" s="25">
        <v>0.2</v>
      </c>
      <c r="J333" s="25">
        <v>0.8</v>
      </c>
      <c r="K333" s="26">
        <v>0</v>
      </c>
      <c r="L333" s="26">
        <v>0</v>
      </c>
      <c r="M333" s="24">
        <v>186</v>
      </c>
      <c r="N333" s="28" t="s">
        <v>345</v>
      </c>
      <c r="O333" s="28" t="s">
        <v>345</v>
      </c>
      <c r="P333" s="28" t="s">
        <v>344</v>
      </c>
      <c r="Q333" s="28" t="s">
        <v>345</v>
      </c>
      <c r="R333" s="29">
        <f>LN(F333+1)/LN(MAX($F$10:$F$511)+1)*100</f>
        <v>18.063434396950068</v>
      </c>
      <c r="S333" s="29">
        <f>IF(H333=0,0,(K333*0.5+L333*0.5)*100)</f>
        <v>0</v>
      </c>
      <c r="T333" s="29">
        <f>IF(M333="",0,MIN(100,M333/MAX($M$10:$M$511)*100))</f>
        <v>2.4849699398797593</v>
      </c>
      <c r="U333" s="29">
        <f>MIN(100,IF(O333="Yes",50,0)+IF(N333="Yes",30,0)+IF(P333="Yes",20,0))</f>
        <v>20</v>
      </c>
      <c r="V333" s="30">
        <f>ROUND(U333*$C$3+S333*$C$4+T333*$C$5+R333*$C$6,1)</f>
        <v>10.3</v>
      </c>
      <c r="W333" s="9" t="s">
        <v>388</v>
      </c>
    </row>
    <row r="334" spans="1:23" ht="32.25" customHeight="1" x14ac:dyDescent="0.2">
      <c r="A334" s="23">
        <v>367</v>
      </c>
      <c r="B334" s="9" t="s">
        <v>366</v>
      </c>
      <c r="C334" s="9" t="s">
        <v>818</v>
      </c>
      <c r="D334" s="9" t="s">
        <v>837</v>
      </c>
      <c r="E334" s="9" t="s">
        <v>820</v>
      </c>
      <c r="F334" s="24">
        <v>408</v>
      </c>
      <c r="G334" s="24">
        <v>339</v>
      </c>
      <c r="H334" s="24">
        <v>408</v>
      </c>
      <c r="I334" s="25">
        <v>10.5</v>
      </c>
      <c r="J334" s="25">
        <v>15.6</v>
      </c>
      <c r="K334" s="26">
        <v>7.0000000000000001E-3</v>
      </c>
      <c r="L334" s="26">
        <v>0</v>
      </c>
      <c r="M334" s="24">
        <v>343</v>
      </c>
      <c r="N334" s="31"/>
      <c r="O334" s="28" t="s">
        <v>345</v>
      </c>
      <c r="P334" s="28"/>
      <c r="Q334" s="28" t="s">
        <v>345</v>
      </c>
      <c r="R334" s="29">
        <f>LN(F334+1)/LN(MAX($F$10:$F$511)+1)*100</f>
        <v>60.626636034982937</v>
      </c>
      <c r="S334" s="29">
        <f>IF(H334=0,0,(K334*0.5+L334*0.5)*100)</f>
        <v>0.35000000000000003</v>
      </c>
      <c r="T334" s="29">
        <f>IF(M334="",0,MIN(100,M334/MAX($M$10:$M$511)*100))</f>
        <v>4.58249832999332</v>
      </c>
      <c r="U334" s="29">
        <f>MIN(100,IF(O334="Yes",50,0)+IF(N334="Yes",30,0)+IF(P334="Yes",20,0))</f>
        <v>0</v>
      </c>
      <c r="V334" s="30">
        <f>ROUND(U334*$C$3+S334*$C$4+T334*$C$5+R334*$C$6,1)</f>
        <v>10.3</v>
      </c>
      <c r="W334" s="9" t="s">
        <v>652</v>
      </c>
    </row>
    <row r="335" spans="1:23" ht="32.25" customHeight="1" x14ac:dyDescent="0.2">
      <c r="A335" s="23">
        <v>82</v>
      </c>
      <c r="B335" s="9" t="s">
        <v>280</v>
      </c>
      <c r="C335" s="9" t="s">
        <v>502</v>
      </c>
      <c r="D335" s="9" t="s">
        <v>455</v>
      </c>
      <c r="E335" s="9" t="s">
        <v>503</v>
      </c>
      <c r="F335" s="24">
        <v>5</v>
      </c>
      <c r="G335" s="24">
        <v>12</v>
      </c>
      <c r="H335" s="24">
        <v>5</v>
      </c>
      <c r="I335" s="25">
        <v>89.9</v>
      </c>
      <c r="J335" s="25">
        <v>106.8</v>
      </c>
      <c r="K335" s="26">
        <v>0.4</v>
      </c>
      <c r="L335" s="26">
        <v>0.2</v>
      </c>
      <c r="M335" s="27"/>
      <c r="N335" s="31"/>
      <c r="O335" s="28" t="s">
        <v>345</v>
      </c>
      <c r="P335" s="28"/>
      <c r="Q335" s="28" t="s">
        <v>345</v>
      </c>
      <c r="R335" s="29">
        <f>LN(F335+1)/LN(MAX($F$10:$F$511)+1)*100</f>
        <v>18.063434396950068</v>
      </c>
      <c r="S335" s="29">
        <f>IF(H335=0,0,(K335*0.5+L335*0.5)*100)</f>
        <v>30.000000000000004</v>
      </c>
      <c r="T335" s="29">
        <f>IF(M335="",0,MIN(100,M335/MAX($M$10:$M$511)*100))</f>
        <v>0</v>
      </c>
      <c r="U335" s="29">
        <f>MIN(100,IF(O335="Yes",50,0)+IF(N335="Yes",30,0)+IF(P335="Yes",20,0))</f>
        <v>0</v>
      </c>
      <c r="V335" s="30">
        <f>ROUND(U335*$C$3+S335*$C$4+T335*$C$5+R335*$C$6,1)</f>
        <v>10.199999999999999</v>
      </c>
      <c r="W335" s="9" t="s">
        <v>419</v>
      </c>
    </row>
    <row r="336" spans="1:23" ht="21.75" customHeight="1" x14ac:dyDescent="0.2">
      <c r="A336" s="23">
        <v>368</v>
      </c>
      <c r="B336" s="9" t="s">
        <v>384</v>
      </c>
      <c r="C336" s="9" t="s">
        <v>838</v>
      </c>
      <c r="D336" s="9" t="s">
        <v>821</v>
      </c>
      <c r="E336" s="9" t="s">
        <v>657</v>
      </c>
      <c r="F336" s="24">
        <v>5</v>
      </c>
      <c r="G336" s="24">
        <v>41</v>
      </c>
      <c r="H336" s="24">
        <v>5</v>
      </c>
      <c r="I336" s="25">
        <v>11.9</v>
      </c>
      <c r="J336" s="25">
        <v>99.6</v>
      </c>
      <c r="K336" s="26">
        <v>0.4</v>
      </c>
      <c r="L336" s="26">
        <v>0.2</v>
      </c>
      <c r="M336" s="24">
        <v>3</v>
      </c>
      <c r="N336" s="31"/>
      <c r="O336" s="28" t="s">
        <v>345</v>
      </c>
      <c r="P336" s="28"/>
      <c r="Q336" s="28" t="s">
        <v>345</v>
      </c>
      <c r="R336" s="29">
        <f>LN(F336+1)/LN(MAX($F$10:$F$511)+1)*100</f>
        <v>18.063434396950068</v>
      </c>
      <c r="S336" s="29">
        <f>IF(H336=0,0,(K336*0.5+L336*0.5)*100)</f>
        <v>30.000000000000004</v>
      </c>
      <c r="T336" s="29">
        <f>IF(M336="",0,MIN(100,M336/MAX($M$10:$M$511)*100))</f>
        <v>4.0080160320641281E-2</v>
      </c>
      <c r="U336" s="29">
        <f>MIN(100,IF(O336="Yes",50,0)+IF(N336="Yes",30,0)+IF(P336="Yes",20,0))</f>
        <v>0</v>
      </c>
      <c r="V336" s="30">
        <f>ROUND(U336*$C$3+S336*$C$4+T336*$C$5+R336*$C$6,1)</f>
        <v>10.199999999999999</v>
      </c>
      <c r="W336" s="9" t="s">
        <v>738</v>
      </c>
    </row>
    <row r="337" spans="1:23" ht="32.25" customHeight="1" x14ac:dyDescent="0.2">
      <c r="A337" s="23">
        <v>369</v>
      </c>
      <c r="B337" s="9" t="s">
        <v>384</v>
      </c>
      <c r="C337" s="9" t="s">
        <v>429</v>
      </c>
      <c r="D337" s="9" t="s">
        <v>526</v>
      </c>
      <c r="E337" s="9" t="s">
        <v>501</v>
      </c>
      <c r="F337" s="24">
        <v>5</v>
      </c>
      <c r="G337" s="24">
        <v>57</v>
      </c>
      <c r="H337" s="24">
        <v>5</v>
      </c>
      <c r="I337" s="25">
        <v>52.8</v>
      </c>
      <c r="J337" s="25">
        <v>52.3</v>
      </c>
      <c r="K337" s="26">
        <v>0</v>
      </c>
      <c r="L337" s="26">
        <v>0</v>
      </c>
      <c r="M337" s="24">
        <v>142</v>
      </c>
      <c r="N337" s="28" t="s">
        <v>345</v>
      </c>
      <c r="O337" s="28" t="s">
        <v>345</v>
      </c>
      <c r="P337" s="28" t="s">
        <v>344</v>
      </c>
      <c r="Q337" s="28" t="s">
        <v>345</v>
      </c>
      <c r="R337" s="29">
        <f>LN(F337+1)/LN(MAX($F$10:$F$511)+1)*100</f>
        <v>18.063434396950068</v>
      </c>
      <c r="S337" s="29">
        <f>IF(H337=0,0,(K337*0.5+L337*0.5)*100)</f>
        <v>0</v>
      </c>
      <c r="T337" s="29">
        <f>IF(M337="",0,MIN(100,M337/MAX($M$10:$M$511)*100))</f>
        <v>1.8971275885103542</v>
      </c>
      <c r="U337" s="29">
        <f>MIN(100,IF(O337="Yes",50,0)+IF(N337="Yes",30,0)+IF(P337="Yes",20,0))</f>
        <v>20</v>
      </c>
      <c r="V337" s="30">
        <f>ROUND(U337*$C$3+S337*$C$4+T337*$C$5+R337*$C$6,1)</f>
        <v>10.199999999999999</v>
      </c>
      <c r="W337" s="9" t="s">
        <v>388</v>
      </c>
    </row>
    <row r="338" spans="1:23" ht="32.25" customHeight="1" x14ac:dyDescent="0.2">
      <c r="A338" s="23">
        <v>370</v>
      </c>
      <c r="B338" s="9" t="s">
        <v>476</v>
      </c>
      <c r="C338" s="9" t="s">
        <v>742</v>
      </c>
      <c r="D338" s="9" t="s">
        <v>839</v>
      </c>
      <c r="E338" s="9" t="s">
        <v>479</v>
      </c>
      <c r="F338" s="24">
        <v>4</v>
      </c>
      <c r="G338" s="24">
        <v>3351</v>
      </c>
      <c r="H338" s="24">
        <v>4</v>
      </c>
      <c r="I338" s="25">
        <v>1.4</v>
      </c>
      <c r="J338" s="25">
        <v>1.3</v>
      </c>
      <c r="K338" s="26">
        <v>0</v>
      </c>
      <c r="L338" s="26">
        <v>0</v>
      </c>
      <c r="M338" s="24">
        <v>186</v>
      </c>
      <c r="N338" s="28" t="s">
        <v>345</v>
      </c>
      <c r="O338" s="28" t="s">
        <v>345</v>
      </c>
      <c r="P338" s="28" t="s">
        <v>344</v>
      </c>
      <c r="Q338" s="28" t="s">
        <v>345</v>
      </c>
      <c r="R338" s="29">
        <f>LN(F338+1)/LN(MAX($F$10:$F$511)+1)*100</f>
        <v>16.225378822606551</v>
      </c>
      <c r="S338" s="29">
        <f>IF(H338=0,0,(K338*0.5+L338*0.5)*100)</f>
        <v>0</v>
      </c>
      <c r="T338" s="29">
        <f>IF(M338="",0,MIN(100,M338/MAX($M$10:$M$511)*100))</f>
        <v>2.4849699398797593</v>
      </c>
      <c r="U338" s="29">
        <f>MIN(100,IF(O338="Yes",50,0)+IF(N338="Yes",30,0)+IF(P338="Yes",20,0))</f>
        <v>20</v>
      </c>
      <c r="V338" s="30">
        <f>ROUND(U338*$C$3+S338*$C$4+T338*$C$5+R338*$C$6,1)</f>
        <v>10.1</v>
      </c>
      <c r="W338" s="9" t="s">
        <v>388</v>
      </c>
    </row>
    <row r="339" spans="1:23" ht="21.75" customHeight="1" x14ac:dyDescent="0.2">
      <c r="A339" s="23">
        <v>371</v>
      </c>
      <c r="B339" s="9" t="s">
        <v>366</v>
      </c>
      <c r="C339" s="9" t="s">
        <v>793</v>
      </c>
      <c r="D339" s="9" t="s">
        <v>371</v>
      </c>
      <c r="E339" s="9" t="s">
        <v>369</v>
      </c>
      <c r="F339" s="24">
        <v>59</v>
      </c>
      <c r="G339" s="24">
        <v>81</v>
      </c>
      <c r="H339" s="24">
        <v>59</v>
      </c>
      <c r="I339" s="25">
        <v>39</v>
      </c>
      <c r="J339" s="25">
        <v>59.9</v>
      </c>
      <c r="K339" s="26">
        <v>0.186</v>
      </c>
      <c r="L339" s="26">
        <v>5.0999999999999997E-2</v>
      </c>
      <c r="M339" s="24">
        <v>144</v>
      </c>
      <c r="N339" s="31"/>
      <c r="O339" s="28" t="s">
        <v>345</v>
      </c>
      <c r="P339" s="28"/>
      <c r="Q339" s="28" t="s">
        <v>345</v>
      </c>
      <c r="R339" s="29">
        <f>LN(F339+1)/LN(MAX($F$10:$F$511)+1)*100</f>
        <v>41.276703524313731</v>
      </c>
      <c r="S339" s="29">
        <f>IF(H339=0,0,(K339*0.5+L339*0.5)*100)</f>
        <v>11.85</v>
      </c>
      <c r="T339" s="29">
        <f>IF(M339="",0,MIN(100,M339/MAX($M$10:$M$511)*100))</f>
        <v>1.9238476953907815</v>
      </c>
      <c r="U339" s="29">
        <f>MIN(100,IF(O339="Yes",50,0)+IF(N339="Yes",30,0)+IF(P339="Yes",20,0))</f>
        <v>0</v>
      </c>
      <c r="V339" s="30">
        <f>ROUND(U339*$C$3+S339*$C$4+T339*$C$5+R339*$C$6,1)</f>
        <v>9.6</v>
      </c>
      <c r="W339" s="9" t="s">
        <v>370</v>
      </c>
    </row>
    <row r="340" spans="1:23" ht="32.25" customHeight="1" x14ac:dyDescent="0.2">
      <c r="A340" s="23">
        <v>372</v>
      </c>
      <c r="B340" s="9" t="s">
        <v>384</v>
      </c>
      <c r="C340" s="9" t="s">
        <v>667</v>
      </c>
      <c r="D340" s="9" t="s">
        <v>840</v>
      </c>
      <c r="E340" s="9" t="s">
        <v>387</v>
      </c>
      <c r="F340" s="24">
        <v>4</v>
      </c>
      <c r="G340" s="24">
        <v>23</v>
      </c>
      <c r="H340" s="24">
        <v>4</v>
      </c>
      <c r="I340" s="25">
        <v>15.8</v>
      </c>
      <c r="J340" s="25">
        <v>21.4</v>
      </c>
      <c r="K340" s="26">
        <v>0</v>
      </c>
      <c r="L340" s="26">
        <v>0</v>
      </c>
      <c r="M340" s="24">
        <v>42</v>
      </c>
      <c r="N340" s="28" t="s">
        <v>345</v>
      </c>
      <c r="O340" s="28" t="s">
        <v>345</v>
      </c>
      <c r="P340" s="28" t="s">
        <v>344</v>
      </c>
      <c r="Q340" s="28" t="s">
        <v>345</v>
      </c>
      <c r="R340" s="29">
        <f>LN(F340+1)/LN(MAX($F$10:$F$511)+1)*100</f>
        <v>16.225378822606551</v>
      </c>
      <c r="S340" s="29">
        <f>IF(H340=0,0,(K340*0.5+L340*0.5)*100)</f>
        <v>0</v>
      </c>
      <c r="T340" s="29">
        <f>IF(M340="",0,MIN(100,M340/MAX($M$10:$M$511)*100))</f>
        <v>0.56112224448897796</v>
      </c>
      <c r="U340" s="29">
        <f>MIN(100,IF(O340="Yes",50,0)+IF(N340="Yes",30,0)+IF(P340="Yes",20,0))</f>
        <v>20</v>
      </c>
      <c r="V340" s="30">
        <f>ROUND(U340*$C$3+S340*$C$4+T340*$C$5+R340*$C$6,1)</f>
        <v>9.6</v>
      </c>
      <c r="W340" s="9" t="s">
        <v>388</v>
      </c>
    </row>
    <row r="341" spans="1:23" ht="15" customHeight="1" x14ac:dyDescent="0.2">
      <c r="A341" s="23">
        <v>373</v>
      </c>
      <c r="B341" s="9" t="s">
        <v>384</v>
      </c>
      <c r="C341" s="9" t="s">
        <v>655</v>
      </c>
      <c r="D341" s="9" t="s">
        <v>822</v>
      </c>
      <c r="E341" s="9" t="s">
        <v>657</v>
      </c>
      <c r="F341" s="24">
        <v>6</v>
      </c>
      <c r="G341" s="24">
        <v>67</v>
      </c>
      <c r="H341" s="24">
        <v>6</v>
      </c>
      <c r="I341" s="25">
        <v>55.3</v>
      </c>
      <c r="J341" s="25">
        <v>94</v>
      </c>
      <c r="K341" s="26">
        <v>0.33300000000000002</v>
      </c>
      <c r="L341" s="26">
        <v>0.16700000000000001</v>
      </c>
      <c r="M341" s="24">
        <v>108</v>
      </c>
      <c r="N341" s="31"/>
      <c r="O341" s="28" t="s">
        <v>345</v>
      </c>
      <c r="P341" s="28"/>
      <c r="Q341" s="28" t="s">
        <v>345</v>
      </c>
      <c r="R341" s="29">
        <f>LN(F341+1)/LN(MAX($F$10:$F$511)+1)*100</f>
        <v>19.617488241858492</v>
      </c>
      <c r="S341" s="29">
        <f>IF(H341=0,0,(K341*0.5+L341*0.5)*100)</f>
        <v>25</v>
      </c>
      <c r="T341" s="29">
        <f>IF(M341="",0,MIN(100,M341/MAX($M$10:$M$511)*100))</f>
        <v>1.4428857715430863</v>
      </c>
      <c r="U341" s="29">
        <f>MIN(100,IF(O341="Yes",50,0)+IF(N341="Yes",30,0)+IF(P341="Yes",20,0))</f>
        <v>0</v>
      </c>
      <c r="V341" s="30">
        <f>ROUND(U341*$C$3+S341*$C$4+T341*$C$5+R341*$C$6,1)</f>
        <v>9.6</v>
      </c>
      <c r="W341" s="9" t="s">
        <v>597</v>
      </c>
    </row>
    <row r="342" spans="1:23" ht="15" customHeight="1" x14ac:dyDescent="0.2">
      <c r="A342" s="23">
        <v>374</v>
      </c>
      <c r="B342" s="9" t="s">
        <v>476</v>
      </c>
      <c r="C342" s="9" t="s">
        <v>823</v>
      </c>
      <c r="D342" s="9" t="s">
        <v>817</v>
      </c>
      <c r="E342" s="9" t="s">
        <v>824</v>
      </c>
      <c r="F342" s="24">
        <v>357</v>
      </c>
      <c r="G342" s="24">
        <v>945</v>
      </c>
      <c r="H342" s="24">
        <v>357</v>
      </c>
      <c r="I342" s="25">
        <v>0.9</v>
      </c>
      <c r="J342" s="25">
        <v>5</v>
      </c>
      <c r="K342" s="26">
        <v>3.0000000000000001E-3</v>
      </c>
      <c r="L342" s="26">
        <v>0</v>
      </c>
      <c r="M342" s="24">
        <v>171</v>
      </c>
      <c r="N342" s="31"/>
      <c r="O342" s="28" t="s">
        <v>345</v>
      </c>
      <c r="P342" s="28"/>
      <c r="Q342" s="28" t="s">
        <v>345</v>
      </c>
      <c r="R342" s="29">
        <f>LN(F342+1)/LN(MAX($F$10:$F$511)+1)*100</f>
        <v>59.283974017290333</v>
      </c>
      <c r="S342" s="29">
        <f>IF(H342=0,0,(K342*0.5+L342*0.5)*100)</f>
        <v>0.15</v>
      </c>
      <c r="T342" s="29">
        <f>IF(M342="",0,MIN(100,M342/MAX($M$10:$M$511)*100))</f>
        <v>2.2845691382765532</v>
      </c>
      <c r="U342" s="29">
        <f>MIN(100,IF(O342="Yes",50,0)+IF(N342="Yes",30,0)+IF(P342="Yes",20,0))</f>
        <v>0</v>
      </c>
      <c r="V342" s="30">
        <f>ROUND(U342*$C$3+S342*$C$4+T342*$C$5+R342*$C$6,1)</f>
        <v>9.5</v>
      </c>
      <c r="W342" s="9" t="s">
        <v>652</v>
      </c>
    </row>
    <row r="343" spans="1:23" ht="32.25" customHeight="1" x14ac:dyDescent="0.2">
      <c r="A343" s="23">
        <v>375</v>
      </c>
      <c r="B343" s="9" t="s">
        <v>280</v>
      </c>
      <c r="C343" s="9" t="s">
        <v>492</v>
      </c>
      <c r="D343" s="9" t="s">
        <v>534</v>
      </c>
      <c r="E343" s="9" t="s">
        <v>535</v>
      </c>
      <c r="F343" s="24">
        <v>29</v>
      </c>
      <c r="G343" s="24">
        <v>37</v>
      </c>
      <c r="H343" s="24">
        <v>29</v>
      </c>
      <c r="I343" s="25">
        <v>20.7</v>
      </c>
      <c r="J343" s="25">
        <v>69.900000000000006</v>
      </c>
      <c r="K343" s="26">
        <v>0.24099999999999999</v>
      </c>
      <c r="L343" s="26">
        <v>0.10299999999999999</v>
      </c>
      <c r="M343" s="24">
        <v>17</v>
      </c>
      <c r="N343" s="31"/>
      <c r="O343" s="28" t="s">
        <v>345</v>
      </c>
      <c r="P343" s="28"/>
      <c r="Q343" s="28" t="s">
        <v>345</v>
      </c>
      <c r="R343" s="29">
        <f>LN(F343+1)/LN(MAX($F$10:$F$511)+1)*100</f>
        <v>34.288813219556623</v>
      </c>
      <c r="S343" s="29">
        <f>IF(H343=0,0,(K343*0.5+L343*0.5)*100)</f>
        <v>17.2</v>
      </c>
      <c r="T343" s="29">
        <f>IF(M343="",0,MIN(100,M343/MAX($M$10:$M$511)*100))</f>
        <v>0.22712090848363395</v>
      </c>
      <c r="U343" s="29">
        <f>MIN(100,IF(O343="Yes",50,0)+IF(N343="Yes",30,0)+IF(P343="Yes",20,0))</f>
        <v>0</v>
      </c>
      <c r="V343" s="30">
        <f>ROUND(U343*$C$3+S343*$C$4+T343*$C$5+R343*$C$6,1)</f>
        <v>9.5</v>
      </c>
      <c r="W343" s="9" t="s">
        <v>652</v>
      </c>
    </row>
    <row r="344" spans="1:23" ht="32.25" customHeight="1" x14ac:dyDescent="0.2">
      <c r="A344" s="23">
        <v>376</v>
      </c>
      <c r="B344" s="9" t="s">
        <v>416</v>
      </c>
      <c r="C344" s="9" t="s">
        <v>631</v>
      </c>
      <c r="D344" s="9" t="s">
        <v>814</v>
      </c>
      <c r="E344" s="9" t="s">
        <v>747</v>
      </c>
      <c r="F344" s="24">
        <v>4</v>
      </c>
      <c r="G344" s="24">
        <v>22</v>
      </c>
      <c r="H344" s="24">
        <v>4</v>
      </c>
      <c r="I344" s="25">
        <v>31.4</v>
      </c>
      <c r="J344" s="25">
        <v>37.5</v>
      </c>
      <c r="K344" s="26">
        <v>0</v>
      </c>
      <c r="L344" s="26">
        <v>0</v>
      </c>
      <c r="M344" s="24">
        <v>17</v>
      </c>
      <c r="N344" s="28" t="s">
        <v>345</v>
      </c>
      <c r="O344" s="28" t="s">
        <v>345</v>
      </c>
      <c r="P344" s="28" t="s">
        <v>344</v>
      </c>
      <c r="Q344" s="28" t="s">
        <v>344</v>
      </c>
      <c r="R344" s="29">
        <f>LN(F344+1)/LN(MAX($F$10:$F$511)+1)*100</f>
        <v>16.225378822606551</v>
      </c>
      <c r="S344" s="29">
        <f>IF(H344=0,0,(K344*0.5+L344*0.5)*100)</f>
        <v>0</v>
      </c>
      <c r="T344" s="29">
        <f>IF(M344="",0,MIN(100,M344/MAX($M$10:$M$511)*100))</f>
        <v>0.22712090848363395</v>
      </c>
      <c r="U344" s="29">
        <f>MIN(100,IF(O344="Yes",50,0)+IF(N344="Yes",30,0)+IF(P344="Yes",20,0))</f>
        <v>20</v>
      </c>
      <c r="V344" s="30">
        <f>ROUND(U344*$C$3+S344*$C$4+T344*$C$5+R344*$C$6,1)</f>
        <v>9.5</v>
      </c>
      <c r="W344" s="9" t="s">
        <v>388</v>
      </c>
    </row>
    <row r="345" spans="1:23" ht="32.25" customHeight="1" x14ac:dyDescent="0.2">
      <c r="A345" s="23">
        <v>377</v>
      </c>
      <c r="B345" s="9" t="s">
        <v>384</v>
      </c>
      <c r="C345" s="9" t="s">
        <v>655</v>
      </c>
      <c r="D345" s="9" t="s">
        <v>821</v>
      </c>
      <c r="E345" s="9" t="s">
        <v>657</v>
      </c>
      <c r="F345" s="24">
        <v>16</v>
      </c>
      <c r="G345" s="24">
        <v>67</v>
      </c>
      <c r="H345" s="24">
        <v>16</v>
      </c>
      <c r="I345" s="25">
        <v>13.2</v>
      </c>
      <c r="J345" s="25">
        <v>63.8</v>
      </c>
      <c r="K345" s="26">
        <v>0.312</v>
      </c>
      <c r="L345" s="26">
        <v>6.2E-2</v>
      </c>
      <c r="M345" s="24">
        <v>108</v>
      </c>
      <c r="N345" s="31"/>
      <c r="O345" s="28" t="s">
        <v>345</v>
      </c>
      <c r="P345" s="28"/>
      <c r="Q345" s="28" t="s">
        <v>345</v>
      </c>
      <c r="R345" s="29">
        <f>LN(F345+1)/LN(MAX($F$10:$F$511)+1)*100</f>
        <v>28.562741959428212</v>
      </c>
      <c r="S345" s="29">
        <f>IF(H345=0,0,(K345*0.5+L345*0.5)*100)</f>
        <v>18.7</v>
      </c>
      <c r="T345" s="29">
        <f>IF(M345="",0,MIN(100,M345/MAX($M$10:$M$511)*100))</f>
        <v>1.4428857715430863</v>
      </c>
      <c r="U345" s="29">
        <f>MIN(100,IF(O345="Yes",50,0)+IF(N345="Yes",30,0)+IF(P345="Yes",20,0))</f>
        <v>0</v>
      </c>
      <c r="V345" s="30">
        <f>ROUND(U345*$C$3+S345*$C$4+T345*$C$5+R345*$C$6,1)</f>
        <v>9.3000000000000007</v>
      </c>
      <c r="W345" s="9" t="s">
        <v>370</v>
      </c>
    </row>
    <row r="346" spans="1:23" ht="32.25" customHeight="1" x14ac:dyDescent="0.2">
      <c r="A346" s="23">
        <v>378</v>
      </c>
      <c r="B346" s="9" t="s">
        <v>366</v>
      </c>
      <c r="C346" s="9" t="s">
        <v>841</v>
      </c>
      <c r="D346" s="9" t="s">
        <v>755</v>
      </c>
      <c r="E346" s="9" t="s">
        <v>369</v>
      </c>
      <c r="F346" s="24">
        <v>22</v>
      </c>
      <c r="G346" s="24">
        <v>4</v>
      </c>
      <c r="H346" s="24">
        <v>22</v>
      </c>
      <c r="I346" s="25">
        <v>8.4</v>
      </c>
      <c r="J346" s="25">
        <v>66</v>
      </c>
      <c r="K346" s="26">
        <v>0.22700000000000001</v>
      </c>
      <c r="L346" s="26">
        <v>0.13600000000000001</v>
      </c>
      <c r="M346" s="24">
        <v>6</v>
      </c>
      <c r="N346" s="31"/>
      <c r="O346" s="28" t="s">
        <v>345</v>
      </c>
      <c r="P346" s="28"/>
      <c r="Q346" s="28" t="s">
        <v>345</v>
      </c>
      <c r="R346" s="29">
        <f>LN(F346+1)/LN(MAX($F$10:$F$511)+1)*100</f>
        <v>31.61015473569892</v>
      </c>
      <c r="S346" s="29">
        <f>IF(H346=0,0,(K346*0.5+L346*0.5)*100)</f>
        <v>18.149999999999999</v>
      </c>
      <c r="T346" s="29">
        <f>IF(M346="",0,MIN(100,M346/MAX($M$10:$M$511)*100))</f>
        <v>8.0160320641282562E-2</v>
      </c>
      <c r="U346" s="29">
        <f>MIN(100,IF(O346="Yes",50,0)+IF(N346="Yes",30,0)+IF(P346="Yes",20,0))</f>
        <v>0</v>
      </c>
      <c r="V346" s="30">
        <f>ROUND(U346*$C$3+S346*$C$4+T346*$C$5+R346*$C$6,1)</f>
        <v>9.3000000000000007</v>
      </c>
      <c r="W346" s="9" t="s">
        <v>652</v>
      </c>
    </row>
    <row r="347" spans="1:23" ht="21.75" customHeight="1" x14ac:dyDescent="0.2">
      <c r="A347" s="23">
        <v>379</v>
      </c>
      <c r="B347" s="9" t="s">
        <v>384</v>
      </c>
      <c r="C347" s="9" t="s">
        <v>761</v>
      </c>
      <c r="D347" s="9" t="s">
        <v>822</v>
      </c>
      <c r="E347" s="9" t="s">
        <v>657</v>
      </c>
      <c r="F347" s="24">
        <v>27</v>
      </c>
      <c r="G347" s="24">
        <v>128</v>
      </c>
      <c r="H347" s="24">
        <v>27</v>
      </c>
      <c r="I347" s="25">
        <v>43.9</v>
      </c>
      <c r="J347" s="25">
        <v>60.2</v>
      </c>
      <c r="K347" s="26">
        <v>0.222</v>
      </c>
      <c r="L347" s="26">
        <v>3.6999999999999998E-2</v>
      </c>
      <c r="M347" s="24">
        <v>302</v>
      </c>
      <c r="N347" s="31"/>
      <c r="O347" s="28" t="s">
        <v>345</v>
      </c>
      <c r="P347" s="28"/>
      <c r="Q347" s="28" t="s">
        <v>345</v>
      </c>
      <c r="R347" s="29">
        <f>LN(F347+1)/LN(MAX($F$10:$F$511)+1)*100</f>
        <v>33.593268851372713</v>
      </c>
      <c r="S347" s="29">
        <f>IF(H347=0,0,(K347*0.5+L347*0.5)*100)</f>
        <v>12.950000000000001</v>
      </c>
      <c r="T347" s="29">
        <f>IF(M347="",0,MIN(100,M347/MAX($M$10:$M$511)*100))</f>
        <v>4.034736138944556</v>
      </c>
      <c r="U347" s="29">
        <f>MIN(100,IF(O347="Yes",50,0)+IF(N347="Yes",30,0)+IF(P347="Yes",20,0))</f>
        <v>0</v>
      </c>
      <c r="V347" s="30">
        <f>ROUND(U347*$C$3+S347*$C$4+T347*$C$5+R347*$C$6,1)</f>
        <v>9.3000000000000007</v>
      </c>
      <c r="W347" s="9" t="s">
        <v>370</v>
      </c>
    </row>
    <row r="348" spans="1:23" ht="32.25" customHeight="1" x14ac:dyDescent="0.2">
      <c r="A348" s="23">
        <v>380</v>
      </c>
      <c r="B348" s="9" t="s">
        <v>397</v>
      </c>
      <c r="C348" s="9" t="s">
        <v>842</v>
      </c>
      <c r="D348" s="9"/>
      <c r="E348" s="9" t="s">
        <v>843</v>
      </c>
      <c r="F348" s="24">
        <v>453</v>
      </c>
      <c r="G348" s="24">
        <v>388</v>
      </c>
      <c r="H348" s="24">
        <v>236</v>
      </c>
      <c r="I348" s="25">
        <v>0</v>
      </c>
      <c r="J348" s="25">
        <v>0.3</v>
      </c>
      <c r="K348" s="26">
        <v>0</v>
      </c>
      <c r="L348" s="26">
        <v>0</v>
      </c>
      <c r="M348" s="24">
        <v>1</v>
      </c>
      <c r="N348" s="31"/>
      <c r="O348" s="28" t="s">
        <v>345</v>
      </c>
      <c r="P348" s="28"/>
      <c r="Q348" s="28" t="s">
        <v>345</v>
      </c>
      <c r="R348" s="29">
        <f>LN(F348+1)/LN(MAX($F$10:$F$511)+1)*100</f>
        <v>61.678952598808742</v>
      </c>
      <c r="S348" s="29">
        <f>IF(H348=0,0,(K348*0.5+L348*0.5)*100)</f>
        <v>0</v>
      </c>
      <c r="T348" s="29">
        <f>IF(M348="",0,MIN(100,M348/MAX($M$10:$M$511)*100))</f>
        <v>1.3360053440213761E-2</v>
      </c>
      <c r="U348" s="29">
        <f>MIN(100,IF(O348="Yes",50,0)+IF(N348="Yes",30,0)+IF(P348="Yes",20,0))</f>
        <v>0</v>
      </c>
      <c r="V348" s="30">
        <f>ROUND(U348*$C$3+S348*$C$4+T348*$C$5+R348*$C$6,1)</f>
        <v>9.3000000000000007</v>
      </c>
      <c r="W348" s="9" t="s">
        <v>583</v>
      </c>
    </row>
    <row r="349" spans="1:23" ht="21.75" customHeight="1" x14ac:dyDescent="0.2">
      <c r="A349" s="23">
        <v>381</v>
      </c>
      <c r="B349" s="9" t="s">
        <v>844</v>
      </c>
      <c r="C349" s="9" t="s">
        <v>845</v>
      </c>
      <c r="D349" s="9" t="s">
        <v>846</v>
      </c>
      <c r="E349" s="9" t="s">
        <v>847</v>
      </c>
      <c r="F349" s="24">
        <v>408</v>
      </c>
      <c r="G349" s="24">
        <v>222</v>
      </c>
      <c r="H349" s="24">
        <v>408</v>
      </c>
      <c r="I349" s="25">
        <v>0.7</v>
      </c>
      <c r="J349" s="25">
        <v>1.8</v>
      </c>
      <c r="K349" s="26">
        <v>0</v>
      </c>
      <c r="L349" s="26">
        <v>0</v>
      </c>
      <c r="M349" s="24">
        <v>27</v>
      </c>
      <c r="N349" s="31"/>
      <c r="O349" s="28" t="s">
        <v>345</v>
      </c>
      <c r="P349" s="28"/>
      <c r="Q349" s="28" t="s">
        <v>345</v>
      </c>
      <c r="R349" s="29">
        <f>LN(F349+1)/LN(MAX($F$10:$F$511)+1)*100</f>
        <v>60.626636034982937</v>
      </c>
      <c r="S349" s="29">
        <f>IF(H349=0,0,(K349*0.5+L349*0.5)*100)</f>
        <v>0</v>
      </c>
      <c r="T349" s="29">
        <f>IF(M349="",0,MIN(100,M349/MAX($M$10:$M$511)*100))</f>
        <v>0.36072144288577157</v>
      </c>
      <c r="U349" s="29">
        <f>MIN(100,IF(O349="Yes",50,0)+IF(N349="Yes",30,0)+IF(P349="Yes",20,0))</f>
        <v>0</v>
      </c>
      <c r="V349" s="30">
        <f>ROUND(U349*$C$3+S349*$C$4+T349*$C$5+R349*$C$6,1)</f>
        <v>9.1999999999999993</v>
      </c>
      <c r="W349" s="9" t="s">
        <v>652</v>
      </c>
    </row>
    <row r="350" spans="1:23" ht="21.75" customHeight="1" x14ac:dyDescent="0.2">
      <c r="A350" s="23">
        <v>382</v>
      </c>
      <c r="B350" s="9" t="s">
        <v>384</v>
      </c>
      <c r="C350" s="9" t="s">
        <v>429</v>
      </c>
      <c r="D350" s="9" t="s">
        <v>840</v>
      </c>
      <c r="E350" s="9" t="s">
        <v>387</v>
      </c>
      <c r="F350" s="24">
        <v>2</v>
      </c>
      <c r="G350" s="24">
        <v>57</v>
      </c>
      <c r="H350" s="24">
        <v>2</v>
      </c>
      <c r="I350" s="25">
        <v>4.4000000000000004</v>
      </c>
      <c r="J350" s="25">
        <v>4.4000000000000004</v>
      </c>
      <c r="K350" s="26">
        <v>0</v>
      </c>
      <c r="L350" s="26">
        <v>0</v>
      </c>
      <c r="M350" s="24">
        <v>142</v>
      </c>
      <c r="N350" s="28" t="s">
        <v>345</v>
      </c>
      <c r="O350" s="28" t="s">
        <v>345</v>
      </c>
      <c r="P350" s="28" t="s">
        <v>344</v>
      </c>
      <c r="Q350" s="28" t="s">
        <v>345</v>
      </c>
      <c r="R350" s="29">
        <f>LN(F350+1)/LN(MAX($F$10:$F$511)+1)*100</f>
        <v>11.075544092192956</v>
      </c>
      <c r="S350" s="29">
        <f>IF(H350=0,0,(K350*0.5+L350*0.5)*100)</f>
        <v>0</v>
      </c>
      <c r="T350" s="29">
        <f>IF(M350="",0,MIN(100,M350/MAX($M$10:$M$511)*100))</f>
        <v>1.8971275885103542</v>
      </c>
      <c r="U350" s="29">
        <f>MIN(100,IF(O350="Yes",50,0)+IF(N350="Yes",30,0)+IF(P350="Yes",20,0))</f>
        <v>20</v>
      </c>
      <c r="V350" s="30">
        <f>ROUND(U350*$C$3+S350*$C$4+T350*$C$5+R350*$C$6,1)</f>
        <v>9.1</v>
      </c>
      <c r="W350" s="9" t="s">
        <v>388</v>
      </c>
    </row>
    <row r="351" spans="1:23" ht="15" customHeight="1" x14ac:dyDescent="0.2">
      <c r="A351" s="23">
        <v>383</v>
      </c>
      <c r="B351" s="9" t="s">
        <v>185</v>
      </c>
      <c r="C351" s="9" t="s">
        <v>848</v>
      </c>
      <c r="D351" s="9"/>
      <c r="E351" s="9" t="s">
        <v>487</v>
      </c>
      <c r="F351" s="24">
        <v>3</v>
      </c>
      <c r="G351" s="24">
        <v>2</v>
      </c>
      <c r="H351" s="24">
        <v>3</v>
      </c>
      <c r="I351" s="25">
        <v>0</v>
      </c>
      <c r="J351" s="25">
        <v>0</v>
      </c>
      <c r="K351" s="26">
        <v>0</v>
      </c>
      <c r="L351" s="26">
        <v>0</v>
      </c>
      <c r="M351" s="24">
        <v>1</v>
      </c>
      <c r="N351" s="28" t="s">
        <v>345</v>
      </c>
      <c r="O351" s="28" t="s">
        <v>345</v>
      </c>
      <c r="P351" s="28" t="s">
        <v>344</v>
      </c>
      <c r="Q351" s="28" t="s">
        <v>345</v>
      </c>
      <c r="R351" s="29">
        <f>LN(F351+1)/LN(MAX($F$10:$F$511)+1)*100</f>
        <v>13.975780609514226</v>
      </c>
      <c r="S351" s="29">
        <f>IF(H351=0,0,(K351*0.5+L351*0.5)*100)</f>
        <v>0</v>
      </c>
      <c r="T351" s="29">
        <f>IF(M351="",0,MIN(100,M351/MAX($M$10:$M$511)*100))</f>
        <v>1.3360053440213761E-2</v>
      </c>
      <c r="U351" s="29">
        <f>MIN(100,IF(O351="Yes",50,0)+IF(N351="Yes",30,0)+IF(P351="Yes",20,0))</f>
        <v>20</v>
      </c>
      <c r="V351" s="30">
        <f>ROUND(U351*$C$3+S351*$C$4+T351*$C$5+R351*$C$6,1)</f>
        <v>9.1</v>
      </c>
      <c r="W351" s="9" t="s">
        <v>723</v>
      </c>
    </row>
    <row r="352" spans="1:23" ht="21.75" customHeight="1" x14ac:dyDescent="0.2">
      <c r="A352" s="23">
        <v>384</v>
      </c>
      <c r="B352" s="9" t="s">
        <v>476</v>
      </c>
      <c r="C352" s="9" t="s">
        <v>849</v>
      </c>
      <c r="D352" s="9" t="s">
        <v>540</v>
      </c>
      <c r="E352" s="9" t="s">
        <v>538</v>
      </c>
      <c r="F352" s="24">
        <v>340</v>
      </c>
      <c r="G352" s="24">
        <v>181</v>
      </c>
      <c r="H352" s="24">
        <v>340</v>
      </c>
      <c r="I352" s="25">
        <v>1</v>
      </c>
      <c r="J352" s="25">
        <v>8.6999999999999993</v>
      </c>
      <c r="K352" s="26">
        <v>1.4999999999999999E-2</v>
      </c>
      <c r="L352" s="26">
        <v>6.0000000000000001E-3</v>
      </c>
      <c r="M352" s="24">
        <v>1</v>
      </c>
      <c r="N352" s="31"/>
      <c r="O352" s="28" t="s">
        <v>345</v>
      </c>
      <c r="P352" s="28"/>
      <c r="Q352" s="28" t="s">
        <v>345</v>
      </c>
      <c r="R352" s="29">
        <f>LN(F352+1)/LN(MAX($F$10:$F$511)+1)*100</f>
        <v>58.793509033061689</v>
      </c>
      <c r="S352" s="29">
        <f>IF(H352=0,0,(K352*0.5+L352*0.5)*100)</f>
        <v>1.0499999999999998</v>
      </c>
      <c r="T352" s="29">
        <f>IF(M352="",0,MIN(100,M352/MAX($M$10:$M$511)*100))</f>
        <v>1.3360053440213761E-2</v>
      </c>
      <c r="U352" s="29">
        <f>MIN(100,IF(O352="Yes",50,0)+IF(N352="Yes",30,0)+IF(P352="Yes",20,0))</f>
        <v>0</v>
      </c>
      <c r="V352" s="30">
        <f>ROUND(U352*$C$3+S352*$C$4+T352*$C$5+R352*$C$6,1)</f>
        <v>9.1</v>
      </c>
      <c r="W352" s="9" t="s">
        <v>652</v>
      </c>
    </row>
    <row r="353" spans="1:23" ht="32.25" customHeight="1" x14ac:dyDescent="0.2">
      <c r="A353" s="23">
        <v>385</v>
      </c>
      <c r="B353" s="9" t="s">
        <v>397</v>
      </c>
      <c r="C353" s="9" t="s">
        <v>850</v>
      </c>
      <c r="D353" s="9" t="s">
        <v>662</v>
      </c>
      <c r="E353" s="9" t="s">
        <v>851</v>
      </c>
      <c r="F353" s="24">
        <v>137</v>
      </c>
      <c r="G353" s="24">
        <v>344</v>
      </c>
      <c r="H353" s="24">
        <v>137</v>
      </c>
      <c r="I353" s="25">
        <v>22.4</v>
      </c>
      <c r="J353" s="25">
        <v>38</v>
      </c>
      <c r="K353" s="26">
        <v>0.109</v>
      </c>
      <c r="L353" s="26">
        <v>7.0000000000000001E-3</v>
      </c>
      <c r="M353" s="24">
        <v>16</v>
      </c>
      <c r="N353" s="31"/>
      <c r="O353" s="28" t="s">
        <v>345</v>
      </c>
      <c r="P353" s="28"/>
      <c r="Q353" s="28" t="s">
        <v>345</v>
      </c>
      <c r="R353" s="29">
        <f>LN(F353+1)/LN(MAX($F$10:$F$511)+1)*100</f>
        <v>49.673589132648992</v>
      </c>
      <c r="S353" s="29">
        <f>IF(H353=0,0,(K353*0.5+L353*0.5)*100)</f>
        <v>5.8000000000000007</v>
      </c>
      <c r="T353" s="29">
        <f>IF(M353="",0,MIN(100,M353/MAX($M$10:$M$511)*100))</f>
        <v>0.21376085504342018</v>
      </c>
      <c r="U353" s="29">
        <f>MIN(100,IF(O353="Yes",50,0)+IF(N353="Yes",30,0)+IF(P353="Yes",20,0))</f>
        <v>0</v>
      </c>
      <c r="V353" s="30">
        <f>ROUND(U353*$C$3+S353*$C$4+T353*$C$5+R353*$C$6,1)</f>
        <v>9</v>
      </c>
      <c r="W353" s="9" t="s">
        <v>652</v>
      </c>
    </row>
    <row r="354" spans="1:23" ht="21.75" customHeight="1" x14ac:dyDescent="0.2">
      <c r="A354" s="23">
        <v>386</v>
      </c>
      <c r="B354" s="9" t="s">
        <v>347</v>
      </c>
      <c r="C354" s="9" t="s">
        <v>852</v>
      </c>
      <c r="D354" s="9"/>
      <c r="E354" s="9" t="s">
        <v>853</v>
      </c>
      <c r="F354" s="24">
        <v>2</v>
      </c>
      <c r="G354" s="27"/>
      <c r="H354" s="24">
        <v>0</v>
      </c>
      <c r="I354" s="25"/>
      <c r="J354" s="25"/>
      <c r="K354" s="26"/>
      <c r="L354" s="26"/>
      <c r="M354" s="24">
        <v>83</v>
      </c>
      <c r="N354" s="31"/>
      <c r="O354" s="28" t="s">
        <v>345</v>
      </c>
      <c r="P354" s="28" t="s">
        <v>344</v>
      </c>
      <c r="Q354" s="28" t="s">
        <v>345</v>
      </c>
      <c r="R354" s="29">
        <f>LN(F354+1)/LN(MAX($F$10:$F$511)+1)*100</f>
        <v>11.075544092192956</v>
      </c>
      <c r="S354" s="29">
        <f>IF(H354=0,0,(K354*0.5+L354*0.5)*100)</f>
        <v>0</v>
      </c>
      <c r="T354" s="29">
        <f>IF(M354="",0,MIN(100,M354/MAX($M$10:$M$511)*100))</f>
        <v>1.1088844355377421</v>
      </c>
      <c r="U354" s="29">
        <f>MIN(100,IF(O354="Yes",50,0)+IF(N354="Yes",30,0)+IF(P354="Yes",20,0))</f>
        <v>20</v>
      </c>
      <c r="V354" s="30">
        <f>ROUND(U354*$C$3+S354*$C$4+T354*$C$5+R354*$C$6,1)</f>
        <v>8.9</v>
      </c>
      <c r="W354" s="9" t="s">
        <v>854</v>
      </c>
    </row>
    <row r="355" spans="1:23" ht="32.25" customHeight="1" x14ac:dyDescent="0.2">
      <c r="A355" s="23">
        <v>387</v>
      </c>
      <c r="B355" s="9" t="s">
        <v>384</v>
      </c>
      <c r="C355" s="9" t="s">
        <v>761</v>
      </c>
      <c r="D355" s="9" t="s">
        <v>773</v>
      </c>
      <c r="E355" s="9" t="s">
        <v>657</v>
      </c>
      <c r="F355" s="24">
        <v>18</v>
      </c>
      <c r="G355" s="24">
        <v>128</v>
      </c>
      <c r="H355" s="24">
        <v>18</v>
      </c>
      <c r="I355" s="25">
        <v>14.1</v>
      </c>
      <c r="J355" s="25">
        <v>50.7</v>
      </c>
      <c r="K355" s="26">
        <v>0.16700000000000001</v>
      </c>
      <c r="L355" s="26">
        <v>0.111</v>
      </c>
      <c r="M355" s="24">
        <v>302</v>
      </c>
      <c r="N355" s="31"/>
      <c r="O355" s="28" t="s">
        <v>345</v>
      </c>
      <c r="P355" s="28"/>
      <c r="Q355" s="28" t="s">
        <v>345</v>
      </c>
      <c r="R355" s="29">
        <f>LN(F355+1)/LN(MAX($F$10:$F$511)+1)*100</f>
        <v>29.684051486503421</v>
      </c>
      <c r="S355" s="29">
        <f>IF(H355=0,0,(K355*0.5+L355*0.5)*100)</f>
        <v>13.900000000000002</v>
      </c>
      <c r="T355" s="29">
        <f>IF(M355="",0,MIN(100,M355/MAX($M$10:$M$511)*100))</f>
        <v>4.034736138944556</v>
      </c>
      <c r="U355" s="29">
        <f>MIN(100,IF(O355="Yes",50,0)+IF(N355="Yes",30,0)+IF(P355="Yes",20,0))</f>
        <v>0</v>
      </c>
      <c r="V355" s="30">
        <f>ROUND(U355*$C$3+S355*$C$4+T355*$C$5+R355*$C$6,1)</f>
        <v>8.9</v>
      </c>
      <c r="W355" s="9" t="s">
        <v>370</v>
      </c>
    </row>
    <row r="356" spans="1:23" ht="21.75" customHeight="1" x14ac:dyDescent="0.2">
      <c r="A356" s="23">
        <v>388</v>
      </c>
      <c r="B356" s="9" t="s">
        <v>416</v>
      </c>
      <c r="C356" s="9" t="s">
        <v>855</v>
      </c>
      <c r="D356" s="9" t="s">
        <v>195</v>
      </c>
      <c r="E356" s="9" t="s">
        <v>595</v>
      </c>
      <c r="F356" s="24">
        <v>110</v>
      </c>
      <c r="G356" s="24">
        <v>30</v>
      </c>
      <c r="H356" s="24">
        <v>110</v>
      </c>
      <c r="I356" s="25">
        <v>2.2999999999999998</v>
      </c>
      <c r="J356" s="25">
        <v>25.4</v>
      </c>
      <c r="K356" s="26">
        <v>9.0999999999999998E-2</v>
      </c>
      <c r="L356" s="26">
        <v>4.4999999999999998E-2</v>
      </c>
      <c r="M356" s="24">
        <v>10</v>
      </c>
      <c r="N356" s="31"/>
      <c r="O356" s="28" t="s">
        <v>345</v>
      </c>
      <c r="P356" s="28"/>
      <c r="Q356" s="28" t="s">
        <v>345</v>
      </c>
      <c r="R356" s="29">
        <f>LN(F356+1)/LN(MAX($F$10:$F$511)+1)*100</f>
        <v>47.478632758955804</v>
      </c>
      <c r="S356" s="29">
        <f>IF(H356=0,0,(K356*0.5+L356*0.5)*100)</f>
        <v>6.8000000000000007</v>
      </c>
      <c r="T356" s="29">
        <f>IF(M356="",0,MIN(100,M356/MAX($M$10:$M$511)*100))</f>
        <v>0.13360053440213762</v>
      </c>
      <c r="U356" s="29">
        <f>MIN(100,IF(O356="Yes",50,0)+IF(N356="Yes",30,0)+IF(P356="Yes",20,0))</f>
        <v>0</v>
      </c>
      <c r="V356" s="30">
        <f>ROUND(U356*$C$3+S356*$C$4+T356*$C$5+R356*$C$6,1)</f>
        <v>8.9</v>
      </c>
      <c r="W356" s="9" t="s">
        <v>652</v>
      </c>
    </row>
    <row r="357" spans="1:23" ht="32.25" customHeight="1" x14ac:dyDescent="0.2">
      <c r="A357" s="23">
        <v>389</v>
      </c>
      <c r="B357" s="9" t="s">
        <v>402</v>
      </c>
      <c r="C357" s="9" t="s">
        <v>472</v>
      </c>
      <c r="D357" s="9" t="s">
        <v>856</v>
      </c>
      <c r="E357" s="9" t="s">
        <v>857</v>
      </c>
      <c r="F357" s="24">
        <v>20</v>
      </c>
      <c r="G357" s="24">
        <v>2221</v>
      </c>
      <c r="H357" s="24">
        <v>20</v>
      </c>
      <c r="I357" s="25">
        <v>17.2</v>
      </c>
      <c r="J357" s="25">
        <v>25.9</v>
      </c>
      <c r="K357" s="26">
        <v>0.1</v>
      </c>
      <c r="L357" s="26">
        <v>0</v>
      </c>
      <c r="M357" s="24">
        <v>892</v>
      </c>
      <c r="N357" s="31"/>
      <c r="O357" s="28" t="s">
        <v>345</v>
      </c>
      <c r="P357" s="28"/>
      <c r="Q357" s="28" t="s">
        <v>344</v>
      </c>
      <c r="R357" s="29">
        <f>LN(F357+1)/LN(MAX($F$10:$F$511)+1)*100</f>
        <v>30.693032334051452</v>
      </c>
      <c r="S357" s="29">
        <f>IF(H357=0,0,(K357*0.5+L357*0.5)*100)</f>
        <v>5</v>
      </c>
      <c r="T357" s="29">
        <f>IF(M357="",0,MIN(100,M357/MAX($M$10:$M$511)*100))</f>
        <v>11.917167668670675</v>
      </c>
      <c r="U357" s="29">
        <f>MIN(100,IF(O357="Yes",50,0)+IF(N357="Yes",30,0)+IF(P357="Yes",20,0))</f>
        <v>0</v>
      </c>
      <c r="V357" s="30">
        <f>ROUND(U357*$C$3+S357*$C$4+T357*$C$5+R357*$C$6,1)</f>
        <v>8.8000000000000007</v>
      </c>
      <c r="W357" s="9" t="s">
        <v>370</v>
      </c>
    </row>
    <row r="358" spans="1:23" ht="32.25" customHeight="1" x14ac:dyDescent="0.2">
      <c r="A358" s="23">
        <v>390</v>
      </c>
      <c r="B358" s="9" t="s">
        <v>397</v>
      </c>
      <c r="C358" s="9" t="s">
        <v>850</v>
      </c>
      <c r="D358" s="9"/>
      <c r="E358" s="9" t="s">
        <v>851</v>
      </c>
      <c r="F358" s="24">
        <v>318</v>
      </c>
      <c r="G358" s="24">
        <v>344</v>
      </c>
      <c r="H358" s="24">
        <v>26</v>
      </c>
      <c r="I358" s="25">
        <v>0.6</v>
      </c>
      <c r="J358" s="25">
        <v>4.5</v>
      </c>
      <c r="K358" s="26">
        <v>0</v>
      </c>
      <c r="L358" s="26">
        <v>0</v>
      </c>
      <c r="M358" s="24">
        <v>16</v>
      </c>
      <c r="N358" s="31"/>
      <c r="O358" s="28" t="s">
        <v>345</v>
      </c>
      <c r="P358" s="28"/>
      <c r="Q358" s="28" t="s">
        <v>345</v>
      </c>
      <c r="R358" s="29">
        <f>LN(F358+1)/LN(MAX($F$10:$F$511)+1)*100</f>
        <v>58.121166964392046</v>
      </c>
      <c r="S358" s="29">
        <f>IF(H358=0,0,(K358*0.5+L358*0.5)*100)</f>
        <v>0</v>
      </c>
      <c r="T358" s="29">
        <f>IF(M358="",0,MIN(100,M358/MAX($M$10:$M$511)*100))</f>
        <v>0.21376085504342018</v>
      </c>
      <c r="U358" s="29">
        <f>MIN(100,IF(O358="Yes",50,0)+IF(N358="Yes",30,0)+IF(P358="Yes",20,0))</f>
        <v>0</v>
      </c>
      <c r="V358" s="30">
        <f>ROUND(U358*$C$3+S358*$C$4+T358*$C$5+R358*$C$6,1)</f>
        <v>8.8000000000000007</v>
      </c>
      <c r="W358" s="9" t="s">
        <v>583</v>
      </c>
    </row>
    <row r="359" spans="1:23" ht="21.75" customHeight="1" x14ac:dyDescent="0.2">
      <c r="A359" s="23">
        <v>391</v>
      </c>
      <c r="B359" s="9" t="s">
        <v>280</v>
      </c>
      <c r="C359" s="9" t="s">
        <v>492</v>
      </c>
      <c r="D359" s="9" t="s">
        <v>743</v>
      </c>
      <c r="E359" s="9" t="s">
        <v>489</v>
      </c>
      <c r="F359" s="24">
        <v>2</v>
      </c>
      <c r="G359" s="24">
        <v>37</v>
      </c>
      <c r="H359" s="24">
        <v>2</v>
      </c>
      <c r="I359" s="25">
        <v>30.9</v>
      </c>
      <c r="J359" s="25">
        <v>30.9</v>
      </c>
      <c r="K359" s="26">
        <v>0</v>
      </c>
      <c r="L359" s="26">
        <v>0</v>
      </c>
      <c r="M359" s="24">
        <v>17</v>
      </c>
      <c r="N359" s="28" t="s">
        <v>345</v>
      </c>
      <c r="O359" s="28" t="s">
        <v>345</v>
      </c>
      <c r="P359" s="28" t="s">
        <v>344</v>
      </c>
      <c r="Q359" s="28" t="s">
        <v>345</v>
      </c>
      <c r="R359" s="29">
        <f>LN(F359+1)/LN(MAX($F$10:$F$511)+1)*100</f>
        <v>11.075544092192956</v>
      </c>
      <c r="S359" s="29">
        <f>IF(H359=0,0,(K359*0.5+L359*0.5)*100)</f>
        <v>0</v>
      </c>
      <c r="T359" s="29">
        <f>IF(M359="",0,MIN(100,M359/MAX($M$10:$M$511)*100))</f>
        <v>0.22712090848363395</v>
      </c>
      <c r="U359" s="29">
        <f>MIN(100,IF(O359="Yes",50,0)+IF(N359="Yes",30,0)+IF(P359="Yes",20,0))</f>
        <v>20</v>
      </c>
      <c r="V359" s="30">
        <f>ROUND(U359*$C$3+S359*$C$4+T359*$C$5+R359*$C$6,1)</f>
        <v>8.6999999999999993</v>
      </c>
      <c r="W359" s="9" t="s">
        <v>388</v>
      </c>
    </row>
    <row r="360" spans="1:23" ht="21.75" customHeight="1" x14ac:dyDescent="0.2">
      <c r="A360" s="23">
        <v>392</v>
      </c>
      <c r="B360" s="9" t="s">
        <v>476</v>
      </c>
      <c r="C360" s="9" t="s">
        <v>742</v>
      </c>
      <c r="D360" s="9" t="s">
        <v>858</v>
      </c>
      <c r="E360" s="9" t="s">
        <v>479</v>
      </c>
      <c r="F360" s="24">
        <v>1</v>
      </c>
      <c r="G360" s="24">
        <v>3351</v>
      </c>
      <c r="H360" s="24">
        <v>1</v>
      </c>
      <c r="I360" s="25">
        <v>0.1</v>
      </c>
      <c r="J360" s="25">
        <v>0.1</v>
      </c>
      <c r="K360" s="26">
        <v>0</v>
      </c>
      <c r="L360" s="26">
        <v>0</v>
      </c>
      <c r="M360" s="24">
        <v>186</v>
      </c>
      <c r="N360" s="28" t="s">
        <v>345</v>
      </c>
      <c r="O360" s="28" t="s">
        <v>345</v>
      </c>
      <c r="P360" s="28" t="s">
        <v>344</v>
      </c>
      <c r="Q360" s="28" t="s">
        <v>345</v>
      </c>
      <c r="R360" s="29">
        <f>LN(F360+1)/LN(MAX($F$10:$F$511)+1)*100</f>
        <v>6.987890304757113</v>
      </c>
      <c r="S360" s="29">
        <f>IF(H360=0,0,(K360*0.5+L360*0.5)*100)</f>
        <v>0</v>
      </c>
      <c r="T360" s="29">
        <f>IF(M360="",0,MIN(100,M360/MAX($M$10:$M$511)*100))</f>
        <v>2.4849699398797593</v>
      </c>
      <c r="U360" s="29">
        <f>MIN(100,IF(O360="Yes",50,0)+IF(N360="Yes",30,0)+IF(P360="Yes",20,0))</f>
        <v>20</v>
      </c>
      <c r="V360" s="30">
        <f>ROUND(U360*$C$3+S360*$C$4+T360*$C$5+R360*$C$6,1)</f>
        <v>8.6999999999999993</v>
      </c>
      <c r="W360" s="9" t="s">
        <v>388</v>
      </c>
    </row>
    <row r="361" spans="1:23" ht="32.25" customHeight="1" x14ac:dyDescent="0.2">
      <c r="A361" s="23">
        <v>89</v>
      </c>
      <c r="B361" s="9" t="s">
        <v>515</v>
      </c>
      <c r="C361" s="9" t="s">
        <v>516</v>
      </c>
      <c r="D361" s="9"/>
      <c r="E361" s="9" t="s">
        <v>517</v>
      </c>
      <c r="F361" s="24">
        <v>124</v>
      </c>
      <c r="G361" s="24">
        <v>58</v>
      </c>
      <c r="H361" s="24">
        <v>124</v>
      </c>
      <c r="I361" s="25">
        <v>0</v>
      </c>
      <c r="J361" s="25">
        <v>20</v>
      </c>
      <c r="K361" s="26">
        <v>6.5000000000000002E-2</v>
      </c>
      <c r="L361" s="26">
        <v>3.2000000000000001E-2</v>
      </c>
      <c r="M361" s="27"/>
      <c r="N361" s="31"/>
      <c r="O361" s="28" t="s">
        <v>345</v>
      </c>
      <c r="P361" s="28"/>
      <c r="Q361" s="28" t="s">
        <v>345</v>
      </c>
      <c r="R361" s="29">
        <f>LN(F361+1)/LN(MAX($F$10:$F$511)+1)*100</f>
        <v>48.676136467819667</v>
      </c>
      <c r="S361" s="29">
        <f>IF(H361=0,0,(K361*0.5+L361*0.5)*100)</f>
        <v>4.8500000000000005</v>
      </c>
      <c r="T361" s="29">
        <f>IF(M361="",0,MIN(100,M361/MAX($M$10:$M$511)*100))</f>
        <v>0</v>
      </c>
      <c r="U361" s="29">
        <f>MIN(100,IF(O361="Yes",50,0)+IF(N361="Yes",30,0)+IF(P361="Yes",20,0))</f>
        <v>0</v>
      </c>
      <c r="V361" s="30">
        <f>ROUND(U361*$C$3+S361*$C$4+T361*$C$5+R361*$C$6,1)</f>
        <v>8.5</v>
      </c>
      <c r="W361" s="9" t="s">
        <v>518</v>
      </c>
    </row>
    <row r="362" spans="1:23" ht="32.25" customHeight="1" x14ac:dyDescent="0.2">
      <c r="A362" s="23">
        <v>393</v>
      </c>
      <c r="B362" s="9" t="s">
        <v>416</v>
      </c>
      <c r="C362" s="9" t="s">
        <v>859</v>
      </c>
      <c r="D362" s="9" t="s">
        <v>195</v>
      </c>
      <c r="E362" s="9" t="s">
        <v>542</v>
      </c>
      <c r="F362" s="24">
        <v>179</v>
      </c>
      <c r="G362" s="24">
        <v>113</v>
      </c>
      <c r="H362" s="24">
        <v>179</v>
      </c>
      <c r="I362" s="25">
        <v>1.2</v>
      </c>
      <c r="J362" s="25">
        <v>8.1999999999999993</v>
      </c>
      <c r="K362" s="26">
        <v>1.0999999999999999E-2</v>
      </c>
      <c r="L362" s="26">
        <v>6.0000000000000001E-3</v>
      </c>
      <c r="M362" s="24">
        <v>132</v>
      </c>
      <c r="N362" s="31"/>
      <c r="O362" s="28" t="s">
        <v>345</v>
      </c>
      <c r="P362" s="28"/>
      <c r="Q362" s="28" t="s">
        <v>345</v>
      </c>
      <c r="R362" s="29">
        <f>LN(F362+1)/LN(MAX($F$10:$F$511)+1)*100</f>
        <v>52.352247616506688</v>
      </c>
      <c r="S362" s="29">
        <f>IF(H362=0,0,(K362*0.5+L362*0.5)*100)</f>
        <v>0.85000000000000009</v>
      </c>
      <c r="T362" s="29">
        <f>IF(M362="",0,MIN(100,M362/MAX($M$10:$M$511)*100))</f>
        <v>1.7635270541082164</v>
      </c>
      <c r="U362" s="29">
        <f>MIN(100,IF(O362="Yes",50,0)+IF(N362="Yes",30,0)+IF(P362="Yes",20,0))</f>
        <v>0</v>
      </c>
      <c r="V362" s="30">
        <f>ROUND(U362*$C$3+S362*$C$4+T362*$C$5+R362*$C$6,1)</f>
        <v>8.5</v>
      </c>
      <c r="W362" s="9" t="s">
        <v>652</v>
      </c>
    </row>
    <row r="363" spans="1:23" ht="21.75" customHeight="1" x14ac:dyDescent="0.2">
      <c r="A363" s="23">
        <v>394</v>
      </c>
      <c r="B363" s="9" t="s">
        <v>510</v>
      </c>
      <c r="C363" s="9" t="s">
        <v>688</v>
      </c>
      <c r="D363" s="9" t="s">
        <v>860</v>
      </c>
      <c r="E363" s="9" t="s">
        <v>512</v>
      </c>
      <c r="F363" s="24">
        <v>10</v>
      </c>
      <c r="G363" s="24">
        <v>223</v>
      </c>
      <c r="H363" s="24">
        <v>10</v>
      </c>
      <c r="I363" s="25">
        <v>17.2</v>
      </c>
      <c r="J363" s="25">
        <v>35.1</v>
      </c>
      <c r="K363" s="26">
        <v>0.2</v>
      </c>
      <c r="L363" s="26">
        <v>0</v>
      </c>
      <c r="M363" s="24">
        <v>650</v>
      </c>
      <c r="N363" s="31"/>
      <c r="O363" s="28" t="s">
        <v>345</v>
      </c>
      <c r="P363" s="28"/>
      <c r="Q363" s="28" t="s">
        <v>344</v>
      </c>
      <c r="R363" s="29">
        <f>LN(F363+1)/LN(MAX($F$10:$F$511)+1)*100</f>
        <v>24.174128667845775</v>
      </c>
      <c r="S363" s="29">
        <f>IF(H363=0,0,(K363*0.5+L363*0.5)*100)</f>
        <v>10</v>
      </c>
      <c r="T363" s="29">
        <f>IF(M363="",0,MIN(100,M363/MAX($M$10:$M$511)*100))</f>
        <v>8.6840347361389441</v>
      </c>
      <c r="U363" s="29">
        <f>MIN(100,IF(O363="Yes",50,0)+IF(N363="Yes",30,0)+IF(P363="Yes",20,0))</f>
        <v>0</v>
      </c>
      <c r="V363" s="30">
        <f>ROUND(U363*$C$3+S363*$C$4+T363*$C$5+R363*$C$6,1)</f>
        <v>8.3000000000000007</v>
      </c>
      <c r="W363" s="9" t="s">
        <v>370</v>
      </c>
    </row>
    <row r="364" spans="1:23" ht="21.75" customHeight="1" x14ac:dyDescent="0.2">
      <c r="A364" s="23">
        <v>395</v>
      </c>
      <c r="B364" s="9" t="s">
        <v>366</v>
      </c>
      <c r="C364" s="9" t="s">
        <v>793</v>
      </c>
      <c r="D364" s="9" t="s">
        <v>861</v>
      </c>
      <c r="E364" s="9" t="s">
        <v>369</v>
      </c>
      <c r="F364" s="24">
        <v>87</v>
      </c>
      <c r="G364" s="24">
        <v>81</v>
      </c>
      <c r="H364" s="24">
        <v>87</v>
      </c>
      <c r="I364" s="25">
        <v>15.9</v>
      </c>
      <c r="J364" s="25">
        <v>30.2</v>
      </c>
      <c r="K364" s="26">
        <v>5.7000000000000002E-2</v>
      </c>
      <c r="L364" s="26">
        <v>2.3E-2</v>
      </c>
      <c r="M364" s="24">
        <v>144</v>
      </c>
      <c r="N364" s="31"/>
      <c r="O364" s="28" t="s">
        <v>345</v>
      </c>
      <c r="P364" s="28"/>
      <c r="Q364" s="28" t="s">
        <v>345</v>
      </c>
      <c r="R364" s="29">
        <f>LN(F364+1)/LN(MAX($F$10:$F$511)+1)*100</f>
        <v>45.137799582117118</v>
      </c>
      <c r="S364" s="29">
        <f>IF(H364=0,0,(K364*0.5+L364*0.5)*100)</f>
        <v>4</v>
      </c>
      <c r="T364" s="29">
        <f>IF(M364="",0,MIN(100,M364/MAX($M$10:$M$511)*100))</f>
        <v>1.9238476953907815</v>
      </c>
      <c r="U364" s="29">
        <f>MIN(100,IF(O364="Yes",50,0)+IF(N364="Yes",30,0)+IF(P364="Yes",20,0))</f>
        <v>0</v>
      </c>
      <c r="V364" s="30">
        <f>ROUND(U364*$C$3+S364*$C$4+T364*$C$5+R364*$C$6,1)</f>
        <v>8.3000000000000007</v>
      </c>
      <c r="W364" s="9" t="s">
        <v>370</v>
      </c>
    </row>
    <row r="365" spans="1:23" ht="21.75" customHeight="1" x14ac:dyDescent="0.2">
      <c r="A365" s="23">
        <v>396</v>
      </c>
      <c r="B365" s="9" t="s">
        <v>384</v>
      </c>
      <c r="C365" s="9" t="s">
        <v>774</v>
      </c>
      <c r="D365" s="9" t="s">
        <v>862</v>
      </c>
      <c r="E365" s="9" t="s">
        <v>657</v>
      </c>
      <c r="F365" s="24">
        <v>16</v>
      </c>
      <c r="G365" s="24">
        <v>44</v>
      </c>
      <c r="H365" s="24">
        <v>16</v>
      </c>
      <c r="I365" s="25">
        <v>32.1</v>
      </c>
      <c r="J365" s="25">
        <v>55.5</v>
      </c>
      <c r="K365" s="26">
        <v>0.188</v>
      </c>
      <c r="L365" s="26">
        <v>0.125</v>
      </c>
      <c r="M365" s="24">
        <v>5</v>
      </c>
      <c r="N365" s="31"/>
      <c r="O365" s="28" t="s">
        <v>345</v>
      </c>
      <c r="P365" s="28"/>
      <c r="Q365" s="28" t="s">
        <v>345</v>
      </c>
      <c r="R365" s="29">
        <f>LN(F365+1)/LN(MAX($F$10:$F$511)+1)*100</f>
        <v>28.562741959428212</v>
      </c>
      <c r="S365" s="29">
        <f>IF(H365=0,0,(K365*0.5+L365*0.5)*100)</f>
        <v>15.65</v>
      </c>
      <c r="T365" s="29">
        <f>IF(M365="",0,MIN(100,M365/MAX($M$10:$M$511)*100))</f>
        <v>6.6800267201068811E-2</v>
      </c>
      <c r="U365" s="29">
        <f>MIN(100,IF(O365="Yes",50,0)+IF(N365="Yes",30,0)+IF(P365="Yes",20,0))</f>
        <v>0</v>
      </c>
      <c r="V365" s="30">
        <f>ROUND(U365*$C$3+S365*$C$4+T365*$C$5+R365*$C$6,1)</f>
        <v>8.1999999999999993</v>
      </c>
      <c r="W365" s="9" t="s">
        <v>652</v>
      </c>
    </row>
    <row r="366" spans="1:23" ht="32.25" customHeight="1" x14ac:dyDescent="0.2">
      <c r="A366" s="23">
        <v>397</v>
      </c>
      <c r="B366" s="9" t="s">
        <v>280</v>
      </c>
      <c r="C366" s="9" t="s">
        <v>605</v>
      </c>
      <c r="D366" s="9" t="s">
        <v>707</v>
      </c>
      <c r="E366" s="9" t="s">
        <v>424</v>
      </c>
      <c r="F366" s="24">
        <v>1</v>
      </c>
      <c r="G366" s="24">
        <v>59</v>
      </c>
      <c r="H366" s="24">
        <v>1</v>
      </c>
      <c r="I366" s="25">
        <v>57</v>
      </c>
      <c r="J366" s="25">
        <v>57</v>
      </c>
      <c r="K366" s="26">
        <v>0</v>
      </c>
      <c r="L366" s="26">
        <v>0</v>
      </c>
      <c r="M366" s="24">
        <v>35</v>
      </c>
      <c r="N366" s="28" t="s">
        <v>345</v>
      </c>
      <c r="O366" s="28" t="s">
        <v>345</v>
      </c>
      <c r="P366" s="28" t="s">
        <v>344</v>
      </c>
      <c r="Q366" s="28" t="s">
        <v>345</v>
      </c>
      <c r="R366" s="29">
        <f>LN(F366+1)/LN(MAX($F$10:$F$511)+1)*100</f>
        <v>6.987890304757113</v>
      </c>
      <c r="S366" s="29">
        <f>IF(H366=0,0,(K366*0.5+L366*0.5)*100)</f>
        <v>0</v>
      </c>
      <c r="T366" s="29">
        <f>IF(M366="",0,MIN(100,M366/MAX($M$10:$M$511)*100))</f>
        <v>0.46760187040748163</v>
      </c>
      <c r="U366" s="29">
        <f>MIN(100,IF(O366="Yes",50,0)+IF(N366="Yes",30,0)+IF(P366="Yes",20,0))</f>
        <v>20</v>
      </c>
      <c r="V366" s="30">
        <f>ROUND(U366*$C$3+S366*$C$4+T366*$C$5+R366*$C$6,1)</f>
        <v>8.1999999999999993</v>
      </c>
      <c r="W366" s="9" t="s">
        <v>388</v>
      </c>
    </row>
    <row r="367" spans="1:23" ht="21.75" customHeight="1" x14ac:dyDescent="0.2">
      <c r="A367" s="23">
        <v>398</v>
      </c>
      <c r="B367" s="9" t="s">
        <v>292</v>
      </c>
      <c r="C367" s="9" t="s">
        <v>521</v>
      </c>
      <c r="D367" s="9" t="s">
        <v>863</v>
      </c>
      <c r="E367" s="9" t="s">
        <v>357</v>
      </c>
      <c r="F367" s="24">
        <v>1</v>
      </c>
      <c r="G367" s="24">
        <v>24</v>
      </c>
      <c r="H367" s="24">
        <v>1</v>
      </c>
      <c r="I367" s="25">
        <v>77.400000000000006</v>
      </c>
      <c r="J367" s="25">
        <v>77.400000000000006</v>
      </c>
      <c r="K367" s="26">
        <v>0</v>
      </c>
      <c r="L367" s="26">
        <v>0</v>
      </c>
      <c r="M367" s="24">
        <v>23</v>
      </c>
      <c r="N367" s="28" t="s">
        <v>345</v>
      </c>
      <c r="O367" s="28" t="s">
        <v>345</v>
      </c>
      <c r="P367" s="28" t="s">
        <v>344</v>
      </c>
      <c r="Q367" s="28" t="s">
        <v>345</v>
      </c>
      <c r="R367" s="29">
        <f>LN(F367+1)/LN(MAX($F$10:$F$511)+1)*100</f>
        <v>6.987890304757113</v>
      </c>
      <c r="S367" s="29">
        <f>IF(H367=0,0,(K367*0.5+L367*0.5)*100)</f>
        <v>0</v>
      </c>
      <c r="T367" s="29">
        <f>IF(M367="",0,MIN(100,M367/MAX($M$10:$M$511)*100))</f>
        <v>0.30728122912491651</v>
      </c>
      <c r="U367" s="29">
        <f>MIN(100,IF(O367="Yes",50,0)+IF(N367="Yes",30,0)+IF(P367="Yes",20,0))</f>
        <v>20</v>
      </c>
      <c r="V367" s="30">
        <f>ROUND(U367*$C$3+S367*$C$4+T367*$C$5+R367*$C$6,1)</f>
        <v>8.1</v>
      </c>
      <c r="W367" s="9" t="s">
        <v>388</v>
      </c>
    </row>
    <row r="368" spans="1:23" ht="32.25" customHeight="1" x14ac:dyDescent="0.2">
      <c r="A368" s="23">
        <v>399</v>
      </c>
      <c r="B368" s="9" t="s">
        <v>366</v>
      </c>
      <c r="C368" s="9" t="s">
        <v>790</v>
      </c>
      <c r="D368" s="9" t="s">
        <v>864</v>
      </c>
      <c r="E368" s="9" t="s">
        <v>550</v>
      </c>
      <c r="F368" s="24">
        <v>2</v>
      </c>
      <c r="G368" s="24">
        <v>69</v>
      </c>
      <c r="H368" s="24">
        <v>2</v>
      </c>
      <c r="I368" s="25">
        <v>111</v>
      </c>
      <c r="J368" s="25">
        <v>111</v>
      </c>
      <c r="K368" s="26">
        <v>0.5</v>
      </c>
      <c r="L368" s="26">
        <v>0</v>
      </c>
      <c r="M368" s="24">
        <v>57</v>
      </c>
      <c r="N368" s="31"/>
      <c r="O368" s="28" t="s">
        <v>345</v>
      </c>
      <c r="P368" s="28"/>
      <c r="Q368" s="28" t="s">
        <v>345</v>
      </c>
      <c r="R368" s="29">
        <f>LN(F368+1)/LN(MAX($F$10:$F$511)+1)*100</f>
        <v>11.075544092192956</v>
      </c>
      <c r="S368" s="29">
        <f>IF(H368=0,0,(K368*0.5+L368*0.5)*100)</f>
        <v>25</v>
      </c>
      <c r="T368" s="29">
        <f>IF(M368="",0,MIN(100,M368/MAX($M$10:$M$511)*100))</f>
        <v>0.76152304609218435</v>
      </c>
      <c r="U368" s="29">
        <f>MIN(100,IF(O368="Yes",50,0)+IF(N368="Yes",30,0)+IF(P368="Yes",20,0))</f>
        <v>0</v>
      </c>
      <c r="V368" s="30">
        <f>ROUND(U368*$C$3+S368*$C$4+T368*$C$5+R368*$C$6,1)</f>
        <v>8.1</v>
      </c>
      <c r="W368" s="9" t="s">
        <v>597</v>
      </c>
    </row>
    <row r="369" spans="1:23" ht="21.75" customHeight="1" x14ac:dyDescent="0.2">
      <c r="A369" s="23">
        <v>400</v>
      </c>
      <c r="B369" s="9" t="s">
        <v>280</v>
      </c>
      <c r="C369" s="9" t="s">
        <v>454</v>
      </c>
      <c r="D369" s="9" t="s">
        <v>707</v>
      </c>
      <c r="E369" s="9" t="s">
        <v>424</v>
      </c>
      <c r="F369" s="24">
        <v>1</v>
      </c>
      <c r="G369" s="24">
        <v>26</v>
      </c>
      <c r="H369" s="24">
        <v>1</v>
      </c>
      <c r="I369" s="25">
        <v>78</v>
      </c>
      <c r="J369" s="25">
        <v>78</v>
      </c>
      <c r="K369" s="26">
        <v>0</v>
      </c>
      <c r="L369" s="26">
        <v>0</v>
      </c>
      <c r="M369" s="24">
        <v>2</v>
      </c>
      <c r="N369" s="28" t="s">
        <v>345</v>
      </c>
      <c r="O369" s="28" t="s">
        <v>345</v>
      </c>
      <c r="P369" s="28" t="s">
        <v>344</v>
      </c>
      <c r="Q369" s="28" t="s">
        <v>345</v>
      </c>
      <c r="R369" s="29">
        <f>LN(F369+1)/LN(MAX($F$10:$F$511)+1)*100</f>
        <v>6.987890304757113</v>
      </c>
      <c r="S369" s="29">
        <f>IF(H369=0,0,(K369*0.5+L369*0.5)*100)</f>
        <v>0</v>
      </c>
      <c r="T369" s="29">
        <f>IF(M369="",0,MIN(100,M369/MAX($M$10:$M$511)*100))</f>
        <v>2.6720106880427523E-2</v>
      </c>
      <c r="U369" s="29">
        <f>MIN(100,IF(O369="Yes",50,0)+IF(N369="Yes",30,0)+IF(P369="Yes",20,0))</f>
        <v>20</v>
      </c>
      <c r="V369" s="30">
        <f>ROUND(U369*$C$3+S369*$C$4+T369*$C$5+R369*$C$6,1)</f>
        <v>8.1</v>
      </c>
      <c r="W369" s="9" t="s">
        <v>388</v>
      </c>
    </row>
    <row r="370" spans="1:23" ht="32.25" customHeight="1" x14ac:dyDescent="0.2">
      <c r="A370" s="23">
        <v>401</v>
      </c>
      <c r="B370" s="9" t="s">
        <v>280</v>
      </c>
      <c r="C370" s="9" t="s">
        <v>772</v>
      </c>
      <c r="D370" s="9" t="s">
        <v>534</v>
      </c>
      <c r="E370" s="9" t="s">
        <v>535</v>
      </c>
      <c r="F370" s="24">
        <v>149</v>
      </c>
      <c r="G370" s="24">
        <v>101</v>
      </c>
      <c r="H370" s="24">
        <v>149</v>
      </c>
      <c r="I370" s="25">
        <v>18.2</v>
      </c>
      <c r="J370" s="25">
        <v>25.7</v>
      </c>
      <c r="K370" s="26">
        <v>0.02</v>
      </c>
      <c r="L370" s="26">
        <v>7.0000000000000001E-3</v>
      </c>
      <c r="M370" s="24">
        <v>32</v>
      </c>
      <c r="N370" s="31"/>
      <c r="O370" s="28" t="s">
        <v>345</v>
      </c>
      <c r="P370" s="28"/>
      <c r="Q370" s="28" t="s">
        <v>345</v>
      </c>
      <c r="R370" s="29">
        <f>LN(F370+1)/LN(MAX($F$10:$F$511)+1)*100</f>
        <v>50.514192042163174</v>
      </c>
      <c r="S370" s="29">
        <f>IF(H370=0,0,(K370*0.5+L370*0.5)*100)</f>
        <v>1.35</v>
      </c>
      <c r="T370" s="29">
        <f>IF(M370="",0,MIN(100,M370/MAX($M$10:$M$511)*100))</f>
        <v>0.42752171008684037</v>
      </c>
      <c r="U370" s="29">
        <f>MIN(100,IF(O370="Yes",50,0)+IF(N370="Yes",30,0)+IF(P370="Yes",20,0))</f>
        <v>0</v>
      </c>
      <c r="V370" s="30">
        <f>ROUND(U370*$C$3+S370*$C$4+T370*$C$5+R370*$C$6,1)</f>
        <v>8</v>
      </c>
      <c r="W370" s="9" t="s">
        <v>652</v>
      </c>
    </row>
    <row r="371" spans="1:23" ht="32.25" customHeight="1" x14ac:dyDescent="0.2">
      <c r="A371" s="23">
        <v>97</v>
      </c>
      <c r="B371" s="9" t="s">
        <v>439</v>
      </c>
      <c r="C371" s="9" t="s">
        <v>529</v>
      </c>
      <c r="D371" s="9"/>
      <c r="E371" s="9" t="s">
        <v>530</v>
      </c>
      <c r="F371" s="24">
        <v>2</v>
      </c>
      <c r="G371" s="24">
        <v>1</v>
      </c>
      <c r="H371" s="24">
        <v>2</v>
      </c>
      <c r="I371" s="25">
        <v>59.5</v>
      </c>
      <c r="J371" s="25">
        <v>59.5</v>
      </c>
      <c r="K371" s="26">
        <v>0.5</v>
      </c>
      <c r="L371" s="26">
        <v>0</v>
      </c>
      <c r="M371" s="27"/>
      <c r="N371" s="31"/>
      <c r="O371" s="28" t="s">
        <v>345</v>
      </c>
      <c r="P371" s="28"/>
      <c r="Q371" s="28" t="s">
        <v>345</v>
      </c>
      <c r="R371" s="29">
        <f>LN(F371+1)/LN(MAX($F$10:$F$511)+1)*100</f>
        <v>11.075544092192956</v>
      </c>
      <c r="S371" s="29">
        <f>IF(H371=0,0,(K371*0.5+L371*0.5)*100)</f>
        <v>25</v>
      </c>
      <c r="T371" s="29">
        <f>IF(M371="",0,MIN(100,M371/MAX($M$10:$M$511)*100))</f>
        <v>0</v>
      </c>
      <c r="U371" s="29">
        <f>MIN(100,IF(O371="Yes",50,0)+IF(N371="Yes",30,0)+IF(P371="Yes",20,0))</f>
        <v>0</v>
      </c>
      <c r="V371" s="30">
        <f>ROUND(U371*$C$3+S371*$C$4+T371*$C$5+R371*$C$6,1)</f>
        <v>7.9</v>
      </c>
      <c r="W371" s="9" t="s">
        <v>531</v>
      </c>
    </row>
    <row r="372" spans="1:23" ht="21.75" customHeight="1" x14ac:dyDescent="0.2">
      <c r="A372" s="23">
        <v>402</v>
      </c>
      <c r="B372" s="9" t="s">
        <v>280</v>
      </c>
      <c r="C372" s="9" t="s">
        <v>865</v>
      </c>
      <c r="D372" s="9" t="s">
        <v>587</v>
      </c>
      <c r="E372" s="9" t="s">
        <v>503</v>
      </c>
      <c r="F372" s="24">
        <v>2</v>
      </c>
      <c r="G372" s="24">
        <v>1</v>
      </c>
      <c r="H372" s="24">
        <v>2</v>
      </c>
      <c r="I372" s="25">
        <v>89.7</v>
      </c>
      <c r="J372" s="25">
        <v>89.7</v>
      </c>
      <c r="K372" s="26">
        <v>0.5</v>
      </c>
      <c r="L372" s="26">
        <v>0</v>
      </c>
      <c r="M372" s="24">
        <v>1</v>
      </c>
      <c r="N372" s="31"/>
      <c r="O372" s="28" t="s">
        <v>345</v>
      </c>
      <c r="P372" s="28"/>
      <c r="Q372" s="28" t="s">
        <v>345</v>
      </c>
      <c r="R372" s="29">
        <f>LN(F372+1)/LN(MAX($F$10:$F$511)+1)*100</f>
        <v>11.075544092192956</v>
      </c>
      <c r="S372" s="29">
        <f>IF(H372=0,0,(K372*0.5+L372*0.5)*100)</f>
        <v>25</v>
      </c>
      <c r="T372" s="29">
        <f>IF(M372="",0,MIN(100,M372/MAX($M$10:$M$511)*100))</f>
        <v>1.3360053440213761E-2</v>
      </c>
      <c r="U372" s="29">
        <f>MIN(100,IF(O372="Yes",50,0)+IF(N372="Yes",30,0)+IF(P372="Yes",20,0))</f>
        <v>0</v>
      </c>
      <c r="V372" s="30">
        <f>ROUND(U372*$C$3+S372*$C$4+T372*$C$5+R372*$C$6,1)</f>
        <v>7.9</v>
      </c>
      <c r="W372" s="9" t="s">
        <v>738</v>
      </c>
    </row>
    <row r="373" spans="1:23" ht="32.25" customHeight="1" x14ac:dyDescent="0.2">
      <c r="A373" s="23">
        <v>99</v>
      </c>
      <c r="B373" s="9" t="s">
        <v>280</v>
      </c>
      <c r="C373" s="9" t="s">
        <v>533</v>
      </c>
      <c r="D373" s="9" t="s">
        <v>534</v>
      </c>
      <c r="E373" s="9" t="s">
        <v>535</v>
      </c>
      <c r="F373" s="24">
        <v>5</v>
      </c>
      <c r="G373" s="24">
        <v>4</v>
      </c>
      <c r="H373" s="24">
        <v>5</v>
      </c>
      <c r="I373" s="25">
        <v>58.1</v>
      </c>
      <c r="J373" s="25">
        <v>72</v>
      </c>
      <c r="K373" s="26">
        <v>0.4</v>
      </c>
      <c r="L373" s="26">
        <v>0</v>
      </c>
      <c r="M373" s="27"/>
      <c r="N373" s="31"/>
      <c r="O373" s="28" t="s">
        <v>345</v>
      </c>
      <c r="P373" s="28"/>
      <c r="Q373" s="28" t="s">
        <v>345</v>
      </c>
      <c r="R373" s="29">
        <f>LN(F373+1)/LN(MAX($F$10:$F$511)+1)*100</f>
        <v>18.063434396950068</v>
      </c>
      <c r="S373" s="29">
        <f>IF(H373=0,0,(K373*0.5+L373*0.5)*100)</f>
        <v>20</v>
      </c>
      <c r="T373" s="29">
        <f>IF(M373="",0,MIN(100,M373/MAX($M$10:$M$511)*100))</f>
        <v>0</v>
      </c>
      <c r="U373" s="29">
        <f>MIN(100,IF(O373="Yes",50,0)+IF(N373="Yes",30,0)+IF(P373="Yes",20,0))</f>
        <v>0</v>
      </c>
      <c r="V373" s="30">
        <f>ROUND(U373*$C$3+S373*$C$4+T373*$C$5+R373*$C$6,1)</f>
        <v>7.7</v>
      </c>
      <c r="W373" s="9" t="s">
        <v>419</v>
      </c>
    </row>
    <row r="374" spans="1:23" ht="32.25" customHeight="1" x14ac:dyDescent="0.2">
      <c r="A374" s="23">
        <v>100</v>
      </c>
      <c r="B374" s="9" t="s">
        <v>476</v>
      </c>
      <c r="C374" s="9" t="s">
        <v>536</v>
      </c>
      <c r="D374" s="9" t="s">
        <v>537</v>
      </c>
      <c r="E374" s="9" t="s">
        <v>538</v>
      </c>
      <c r="F374" s="24">
        <v>128</v>
      </c>
      <c r="G374" s="24">
        <v>61</v>
      </c>
      <c r="H374" s="24">
        <v>128</v>
      </c>
      <c r="I374" s="25">
        <v>0</v>
      </c>
      <c r="J374" s="25">
        <v>5.6</v>
      </c>
      <c r="K374" s="26">
        <v>2.3E-2</v>
      </c>
      <c r="L374" s="26">
        <v>0</v>
      </c>
      <c r="M374" s="27"/>
      <c r="N374" s="31"/>
      <c r="O374" s="28" t="s">
        <v>345</v>
      </c>
      <c r="P374" s="28"/>
      <c r="Q374" s="28" t="s">
        <v>345</v>
      </c>
      <c r="R374" s="29">
        <f>LN(F374+1)/LN(MAX($F$10:$F$511)+1)*100</f>
        <v>48.993686962620977</v>
      </c>
      <c r="S374" s="29">
        <f>IF(H374=0,0,(K374*0.5+L374*0.5)*100)</f>
        <v>1.1499999999999999</v>
      </c>
      <c r="T374" s="29">
        <f>IF(M374="",0,MIN(100,M374/MAX($M$10:$M$511)*100))</f>
        <v>0</v>
      </c>
      <c r="U374" s="29">
        <f>MIN(100,IF(O374="Yes",50,0)+IF(N374="Yes",30,0)+IF(P374="Yes",20,0))</f>
        <v>0</v>
      </c>
      <c r="V374" s="30">
        <f>ROUND(U374*$C$3+S374*$C$4+T374*$C$5+R374*$C$6,1)</f>
        <v>7.6</v>
      </c>
      <c r="W374" s="9" t="s">
        <v>355</v>
      </c>
    </row>
    <row r="375" spans="1:23" ht="21.75" customHeight="1" x14ac:dyDescent="0.2">
      <c r="A375" s="23">
        <v>101</v>
      </c>
      <c r="B375" s="9" t="s">
        <v>476</v>
      </c>
      <c r="C375" s="9" t="s">
        <v>539</v>
      </c>
      <c r="D375" s="9" t="s">
        <v>540</v>
      </c>
      <c r="E375" s="9" t="s">
        <v>538</v>
      </c>
      <c r="F375" s="24">
        <v>124</v>
      </c>
      <c r="G375" s="24">
        <v>59</v>
      </c>
      <c r="H375" s="24">
        <v>124</v>
      </c>
      <c r="I375" s="25">
        <v>1.6</v>
      </c>
      <c r="J375" s="25">
        <v>8.9</v>
      </c>
      <c r="K375" s="26">
        <v>1.6E-2</v>
      </c>
      <c r="L375" s="26">
        <v>8.0000000000000002E-3</v>
      </c>
      <c r="M375" s="27"/>
      <c r="N375" s="31"/>
      <c r="O375" s="28" t="s">
        <v>345</v>
      </c>
      <c r="P375" s="28"/>
      <c r="Q375" s="28" t="s">
        <v>345</v>
      </c>
      <c r="R375" s="29">
        <f>LN(F375+1)/LN(MAX($F$10:$F$511)+1)*100</f>
        <v>48.676136467819667</v>
      </c>
      <c r="S375" s="29">
        <f>IF(H375=0,0,(K375*0.5+L375*0.5)*100)</f>
        <v>1.2</v>
      </c>
      <c r="T375" s="29">
        <f>IF(M375="",0,MIN(100,M375/MAX($M$10:$M$511)*100))</f>
        <v>0</v>
      </c>
      <c r="U375" s="29">
        <f>MIN(100,IF(O375="Yes",50,0)+IF(N375="Yes",30,0)+IF(P375="Yes",20,0))</f>
        <v>0</v>
      </c>
      <c r="V375" s="30">
        <f>ROUND(U375*$C$3+S375*$C$4+T375*$C$5+R375*$C$6,1)</f>
        <v>7.6</v>
      </c>
      <c r="W375" s="9" t="s">
        <v>355</v>
      </c>
    </row>
    <row r="376" spans="1:23" ht="21.75" customHeight="1" x14ac:dyDescent="0.2">
      <c r="A376" s="23">
        <v>102</v>
      </c>
      <c r="B376" s="9" t="s">
        <v>416</v>
      </c>
      <c r="C376" s="9" t="s">
        <v>541</v>
      </c>
      <c r="D376" s="9" t="s">
        <v>218</v>
      </c>
      <c r="E376" s="9" t="s">
        <v>542</v>
      </c>
      <c r="F376" s="24">
        <v>79</v>
      </c>
      <c r="G376" s="24">
        <v>90</v>
      </c>
      <c r="H376" s="24">
        <v>79</v>
      </c>
      <c r="I376" s="25">
        <v>0</v>
      </c>
      <c r="J376" s="25">
        <v>15.5</v>
      </c>
      <c r="K376" s="26">
        <v>3.7999999999999999E-2</v>
      </c>
      <c r="L376" s="26">
        <v>3.7999999999999999E-2</v>
      </c>
      <c r="M376" s="27"/>
      <c r="N376" s="31"/>
      <c r="O376" s="28" t="s">
        <v>345</v>
      </c>
      <c r="P376" s="28"/>
      <c r="Q376" s="28" t="s">
        <v>345</v>
      </c>
      <c r="R376" s="29">
        <f>LN(F376+1)/LN(MAX($F$10:$F$511)+1)*100</f>
        <v>44.176940041635</v>
      </c>
      <c r="S376" s="29">
        <f>IF(H376=0,0,(K376*0.5+L376*0.5)*100)</f>
        <v>3.8</v>
      </c>
      <c r="T376" s="29">
        <f>IF(M376="",0,MIN(100,M376/MAX($M$10:$M$511)*100))</f>
        <v>0</v>
      </c>
      <c r="U376" s="29">
        <f>MIN(100,IF(O376="Yes",50,0)+IF(N376="Yes",30,0)+IF(P376="Yes",20,0))</f>
        <v>0</v>
      </c>
      <c r="V376" s="30">
        <f>ROUND(U376*$C$3+S376*$C$4+T376*$C$5+R376*$C$6,1)</f>
        <v>7.6</v>
      </c>
      <c r="W376" s="9" t="s">
        <v>355</v>
      </c>
    </row>
    <row r="377" spans="1:23" ht="32.25" customHeight="1" x14ac:dyDescent="0.2">
      <c r="A377" s="23">
        <v>403</v>
      </c>
      <c r="B377" s="9" t="s">
        <v>208</v>
      </c>
      <c r="C377" s="9" t="s">
        <v>866</v>
      </c>
      <c r="D377" s="9" t="s">
        <v>236</v>
      </c>
      <c r="E377" s="9" t="s">
        <v>867</v>
      </c>
      <c r="F377" s="24">
        <v>116</v>
      </c>
      <c r="G377" s="24">
        <v>70</v>
      </c>
      <c r="H377" s="24">
        <v>116</v>
      </c>
      <c r="I377" s="25">
        <v>7.6</v>
      </c>
      <c r="J377" s="25">
        <v>19.600000000000001</v>
      </c>
      <c r="K377" s="26">
        <v>1.7000000000000001E-2</v>
      </c>
      <c r="L377" s="26">
        <v>1.7000000000000001E-2</v>
      </c>
      <c r="M377" s="24">
        <v>1</v>
      </c>
      <c r="N377" s="31"/>
      <c r="O377" s="28" t="s">
        <v>345</v>
      </c>
      <c r="P377" s="28"/>
      <c r="Q377" s="28" t="s">
        <v>345</v>
      </c>
      <c r="R377" s="29">
        <f>LN(F377+1)/LN(MAX($F$10:$F$511)+1)*100</f>
        <v>48.009355014122193</v>
      </c>
      <c r="S377" s="29">
        <f>IF(H377=0,0,(K377*0.5+L377*0.5)*100)</f>
        <v>1.7000000000000002</v>
      </c>
      <c r="T377" s="29">
        <f>IF(M377="",0,MIN(100,M377/MAX($M$10:$M$511)*100))</f>
        <v>1.3360053440213761E-2</v>
      </c>
      <c r="U377" s="29">
        <f>MIN(100,IF(O377="Yes",50,0)+IF(N377="Yes",30,0)+IF(P377="Yes",20,0))</f>
        <v>0</v>
      </c>
      <c r="V377" s="30">
        <f>ROUND(U377*$C$3+S377*$C$4+T377*$C$5+R377*$C$6,1)</f>
        <v>7.6</v>
      </c>
      <c r="W377" s="9" t="s">
        <v>652</v>
      </c>
    </row>
    <row r="378" spans="1:23" ht="32.25" customHeight="1" x14ac:dyDescent="0.2">
      <c r="A378" s="23">
        <v>404</v>
      </c>
      <c r="B378" s="9" t="s">
        <v>366</v>
      </c>
      <c r="C378" s="9" t="s">
        <v>794</v>
      </c>
      <c r="D378" s="9" t="s">
        <v>868</v>
      </c>
      <c r="E378" s="9" t="s">
        <v>369</v>
      </c>
      <c r="F378" s="24">
        <v>106</v>
      </c>
      <c r="G378" s="24">
        <v>155</v>
      </c>
      <c r="H378" s="24">
        <v>106</v>
      </c>
      <c r="I378" s="25">
        <v>10.4</v>
      </c>
      <c r="J378" s="25">
        <v>20.100000000000001</v>
      </c>
      <c r="K378" s="26">
        <v>2.8000000000000001E-2</v>
      </c>
      <c r="L378" s="26">
        <v>0</v>
      </c>
      <c r="M378" s="24">
        <v>58</v>
      </c>
      <c r="N378" s="31"/>
      <c r="O378" s="28" t="s">
        <v>345</v>
      </c>
      <c r="P378" s="28"/>
      <c r="Q378" s="28" t="s">
        <v>345</v>
      </c>
      <c r="R378" s="29">
        <f>LN(F378+1)/LN(MAX($F$10:$F$511)+1)*100</f>
        <v>47.108631794112718</v>
      </c>
      <c r="S378" s="29">
        <f>IF(H378=0,0,(K378*0.5+L378*0.5)*100)</f>
        <v>1.4000000000000001</v>
      </c>
      <c r="T378" s="29">
        <f>IF(M378="",0,MIN(100,M378/MAX($M$10:$M$511)*100))</f>
        <v>0.77488309953239809</v>
      </c>
      <c r="U378" s="29">
        <f>MIN(100,IF(O378="Yes",50,0)+IF(N378="Yes",30,0)+IF(P378="Yes",20,0))</f>
        <v>0</v>
      </c>
      <c r="V378" s="30">
        <f>ROUND(U378*$C$3+S378*$C$4+T378*$C$5+R378*$C$6,1)</f>
        <v>7.6</v>
      </c>
      <c r="W378" s="9" t="s">
        <v>652</v>
      </c>
    </row>
    <row r="379" spans="1:23" ht="21.75" customHeight="1" x14ac:dyDescent="0.2">
      <c r="A379" s="23">
        <v>103</v>
      </c>
      <c r="B379" s="9" t="s">
        <v>476</v>
      </c>
      <c r="C379" s="9" t="s">
        <v>543</v>
      </c>
      <c r="D379" s="9" t="s">
        <v>540</v>
      </c>
      <c r="E379" s="9" t="s">
        <v>544</v>
      </c>
      <c r="F379" s="24">
        <v>104</v>
      </c>
      <c r="G379" s="24">
        <v>57</v>
      </c>
      <c r="H379" s="24">
        <v>104</v>
      </c>
      <c r="I379" s="25">
        <v>1.8</v>
      </c>
      <c r="J379" s="25">
        <v>7.9</v>
      </c>
      <c r="K379" s="26">
        <v>1.9E-2</v>
      </c>
      <c r="L379" s="26">
        <v>1.9E-2</v>
      </c>
      <c r="M379" s="27"/>
      <c r="N379" s="31"/>
      <c r="O379" s="28" t="s">
        <v>345</v>
      </c>
      <c r="P379" s="28"/>
      <c r="Q379" s="28" t="s">
        <v>345</v>
      </c>
      <c r="R379" s="29">
        <f>LN(F379+1)/LN(MAX($F$10:$F$511)+1)*100</f>
        <v>46.918411156657996</v>
      </c>
      <c r="S379" s="29">
        <f>IF(H379=0,0,(K379*0.5+L379*0.5)*100)</f>
        <v>1.9</v>
      </c>
      <c r="T379" s="29">
        <f>IF(M379="",0,MIN(100,M379/MAX($M$10:$M$511)*100))</f>
        <v>0</v>
      </c>
      <c r="U379" s="29">
        <f>MIN(100,IF(O379="Yes",50,0)+IF(N379="Yes",30,0)+IF(P379="Yes",20,0))</f>
        <v>0</v>
      </c>
      <c r="V379" s="30">
        <f>ROUND(U379*$C$3+S379*$C$4+T379*$C$5+R379*$C$6,1)</f>
        <v>7.5</v>
      </c>
      <c r="W379" s="9" t="s">
        <v>355</v>
      </c>
    </row>
    <row r="380" spans="1:23" ht="32.25" customHeight="1" x14ac:dyDescent="0.2">
      <c r="A380" s="23">
        <v>405</v>
      </c>
      <c r="B380" s="9" t="s">
        <v>384</v>
      </c>
      <c r="C380" s="9" t="s">
        <v>655</v>
      </c>
      <c r="D380" s="9" t="s">
        <v>869</v>
      </c>
      <c r="E380" s="9" t="s">
        <v>657</v>
      </c>
      <c r="F380" s="24">
        <v>11</v>
      </c>
      <c r="G380" s="24">
        <v>67</v>
      </c>
      <c r="H380" s="24">
        <v>11</v>
      </c>
      <c r="I380" s="25">
        <v>18.8</v>
      </c>
      <c r="J380" s="25">
        <v>55.3</v>
      </c>
      <c r="K380" s="26">
        <v>0.27300000000000002</v>
      </c>
      <c r="L380" s="26">
        <v>0</v>
      </c>
      <c r="M380" s="24">
        <v>108</v>
      </c>
      <c r="N380" s="31"/>
      <c r="O380" s="28" t="s">
        <v>345</v>
      </c>
      <c r="P380" s="28"/>
      <c r="Q380" s="28" t="s">
        <v>345</v>
      </c>
      <c r="R380" s="29">
        <f>LN(F380+1)/LN(MAX($F$10:$F$511)+1)*100</f>
        <v>25.051324701707184</v>
      </c>
      <c r="S380" s="29">
        <f>IF(H380=0,0,(K380*0.5+L380*0.5)*100)</f>
        <v>13.65</v>
      </c>
      <c r="T380" s="29">
        <f>IF(M380="",0,MIN(100,M380/MAX($M$10:$M$511)*100))</f>
        <v>1.4428857715430863</v>
      </c>
      <c r="U380" s="29">
        <f>MIN(100,IF(O380="Yes",50,0)+IF(N380="Yes",30,0)+IF(P380="Yes",20,0))</f>
        <v>0</v>
      </c>
      <c r="V380" s="30">
        <f>ROUND(U380*$C$3+S380*$C$4+T380*$C$5+R380*$C$6,1)</f>
        <v>7.5</v>
      </c>
      <c r="W380" s="9" t="s">
        <v>370</v>
      </c>
    </row>
    <row r="381" spans="1:23" ht="21.75" customHeight="1" x14ac:dyDescent="0.2">
      <c r="A381" s="23">
        <v>406</v>
      </c>
      <c r="B381" s="9" t="s">
        <v>351</v>
      </c>
      <c r="C381" s="9" t="s">
        <v>870</v>
      </c>
      <c r="D381" s="9" t="s">
        <v>871</v>
      </c>
      <c r="E381" s="9" t="s">
        <v>354</v>
      </c>
      <c r="F381" s="24">
        <v>7</v>
      </c>
      <c r="G381" s="24">
        <v>5</v>
      </c>
      <c r="H381" s="24">
        <v>3</v>
      </c>
      <c r="I381" s="25">
        <v>82</v>
      </c>
      <c r="J381" s="25">
        <v>67.7</v>
      </c>
      <c r="K381" s="26">
        <v>0.33300000000000002</v>
      </c>
      <c r="L381" s="26">
        <v>0</v>
      </c>
      <c r="M381" s="24">
        <v>4</v>
      </c>
      <c r="N381" s="31"/>
      <c r="O381" s="28" t="s">
        <v>345</v>
      </c>
      <c r="P381" s="28"/>
      <c r="Q381" s="28" t="s">
        <v>345</v>
      </c>
      <c r="R381" s="29">
        <f>LN(F381+1)/LN(MAX($F$10:$F$511)+1)*100</f>
        <v>20.963670914271336</v>
      </c>
      <c r="S381" s="29">
        <f>IF(H381=0,0,(K381*0.5+L381*0.5)*100)</f>
        <v>16.650000000000002</v>
      </c>
      <c r="T381" s="29">
        <f>IF(M381="",0,MIN(100,M381/MAX($M$10:$M$511)*100))</f>
        <v>5.3440213760855046E-2</v>
      </c>
      <c r="U381" s="29">
        <f>MIN(100,IF(O381="Yes",50,0)+IF(N381="Yes",30,0)+IF(P381="Yes",20,0))</f>
        <v>0</v>
      </c>
      <c r="V381" s="30">
        <f>ROUND(U381*$C$3+S381*$C$4+T381*$C$5+R381*$C$6,1)</f>
        <v>7.3</v>
      </c>
      <c r="W381" s="9" t="s">
        <v>738</v>
      </c>
    </row>
    <row r="382" spans="1:23" ht="32.25" customHeight="1" x14ac:dyDescent="0.2">
      <c r="A382" s="23">
        <v>407</v>
      </c>
      <c r="B382" s="9" t="s">
        <v>384</v>
      </c>
      <c r="C382" s="9" t="s">
        <v>655</v>
      </c>
      <c r="D382" s="9" t="s">
        <v>872</v>
      </c>
      <c r="E382" s="9" t="s">
        <v>657</v>
      </c>
      <c r="F382" s="24">
        <v>26</v>
      </c>
      <c r="G382" s="24">
        <v>67</v>
      </c>
      <c r="H382" s="24">
        <v>26</v>
      </c>
      <c r="I382" s="25">
        <v>10.6</v>
      </c>
      <c r="J382" s="25">
        <v>31.7</v>
      </c>
      <c r="K382" s="26">
        <v>7.6999999999999999E-2</v>
      </c>
      <c r="L382" s="26">
        <v>7.6999999999999999E-2</v>
      </c>
      <c r="M382" s="24">
        <v>108</v>
      </c>
      <c r="N382" s="31"/>
      <c r="O382" s="28" t="s">
        <v>345</v>
      </c>
      <c r="P382" s="28"/>
      <c r="Q382" s="28" t="s">
        <v>345</v>
      </c>
      <c r="R382" s="29">
        <f>LN(F382+1)/LN(MAX($F$10:$F$511)+1)*100</f>
        <v>33.226632276578869</v>
      </c>
      <c r="S382" s="29">
        <f>IF(H382=0,0,(K382*0.5+L382*0.5)*100)</f>
        <v>7.7</v>
      </c>
      <c r="T382" s="29">
        <f>IF(M382="",0,MIN(100,M382/MAX($M$10:$M$511)*100))</f>
        <v>1.4428857715430863</v>
      </c>
      <c r="U382" s="29">
        <f>MIN(100,IF(O382="Yes",50,0)+IF(N382="Yes",30,0)+IF(P382="Yes",20,0))</f>
        <v>0</v>
      </c>
      <c r="V382" s="30">
        <f>ROUND(U382*$C$3+S382*$C$4+T382*$C$5+R382*$C$6,1)</f>
        <v>7.3</v>
      </c>
      <c r="W382" s="9" t="s">
        <v>370</v>
      </c>
    </row>
    <row r="383" spans="1:23" ht="21.75" customHeight="1" x14ac:dyDescent="0.2">
      <c r="A383" s="23">
        <v>408</v>
      </c>
      <c r="B383" s="9" t="s">
        <v>476</v>
      </c>
      <c r="C383" s="9" t="s">
        <v>831</v>
      </c>
      <c r="D383" s="9" t="s">
        <v>873</v>
      </c>
      <c r="E383" s="9" t="s">
        <v>824</v>
      </c>
      <c r="F383" s="24">
        <v>118</v>
      </c>
      <c r="G383" s="24">
        <v>345</v>
      </c>
      <c r="H383" s="24">
        <v>118</v>
      </c>
      <c r="I383" s="25">
        <v>0.1</v>
      </c>
      <c r="J383" s="25">
        <v>1</v>
      </c>
      <c r="K383" s="26">
        <v>0</v>
      </c>
      <c r="L383" s="26">
        <v>0</v>
      </c>
      <c r="M383" s="24">
        <v>4</v>
      </c>
      <c r="N383" s="31"/>
      <c r="O383" s="28" t="s">
        <v>345</v>
      </c>
      <c r="P383" s="28"/>
      <c r="Q383" s="28" t="s">
        <v>345</v>
      </c>
      <c r="R383" s="29">
        <f>LN(F383+1)/LN(MAX($F$10:$F$511)+1)*100</f>
        <v>48.180230201286705</v>
      </c>
      <c r="S383" s="29">
        <f>IF(H383=0,0,(K383*0.5+L383*0.5)*100)</f>
        <v>0</v>
      </c>
      <c r="T383" s="29">
        <f>IF(M383="",0,MIN(100,M383/MAX($M$10:$M$511)*100))</f>
        <v>5.3440213760855046E-2</v>
      </c>
      <c r="U383" s="29">
        <f>MIN(100,IF(O383="Yes",50,0)+IF(N383="Yes",30,0)+IF(P383="Yes",20,0))</f>
        <v>0</v>
      </c>
      <c r="V383" s="30">
        <f>ROUND(U383*$C$3+S383*$C$4+T383*$C$5+R383*$C$6,1)</f>
        <v>7.2</v>
      </c>
      <c r="W383" s="9" t="s">
        <v>652</v>
      </c>
    </row>
    <row r="384" spans="1:23" ht="21.75" customHeight="1" x14ac:dyDescent="0.2">
      <c r="A384" s="23">
        <v>409</v>
      </c>
      <c r="B384" s="9" t="s">
        <v>366</v>
      </c>
      <c r="C384" s="9" t="s">
        <v>790</v>
      </c>
      <c r="D384" s="9" t="s">
        <v>874</v>
      </c>
      <c r="E384" s="9" t="s">
        <v>550</v>
      </c>
      <c r="F384" s="24">
        <v>75</v>
      </c>
      <c r="G384" s="24">
        <v>69</v>
      </c>
      <c r="H384" s="24">
        <v>75</v>
      </c>
      <c r="I384" s="25">
        <v>13.5</v>
      </c>
      <c r="J384" s="25">
        <v>23.5</v>
      </c>
      <c r="K384" s="26">
        <v>0.04</v>
      </c>
      <c r="L384" s="26">
        <v>0</v>
      </c>
      <c r="M384" s="24">
        <v>57</v>
      </c>
      <c r="N384" s="31"/>
      <c r="O384" s="28" t="s">
        <v>345</v>
      </c>
      <c r="P384" s="28"/>
      <c r="Q384" s="28" t="s">
        <v>345</v>
      </c>
      <c r="R384" s="29">
        <f>LN(F384+1)/LN(MAX($F$10:$F$511)+1)*100</f>
        <v>43.659832096017645</v>
      </c>
      <c r="S384" s="29">
        <f>IF(H384=0,0,(K384*0.5+L384*0.5)*100)</f>
        <v>2</v>
      </c>
      <c r="T384" s="29">
        <f>IF(M384="",0,MIN(100,M384/MAX($M$10:$M$511)*100))</f>
        <v>0.76152304609218435</v>
      </c>
      <c r="U384" s="29">
        <f>MIN(100,IF(O384="Yes",50,0)+IF(N384="Yes",30,0)+IF(P384="Yes",20,0))</f>
        <v>0</v>
      </c>
      <c r="V384" s="30">
        <f>ROUND(U384*$C$3+S384*$C$4+T384*$C$5+R384*$C$6,1)</f>
        <v>7.2</v>
      </c>
      <c r="W384" s="9" t="s">
        <v>652</v>
      </c>
    </row>
    <row r="385" spans="1:23" ht="32.25" customHeight="1" x14ac:dyDescent="0.2">
      <c r="A385" s="23">
        <v>105</v>
      </c>
      <c r="B385" s="9" t="s">
        <v>510</v>
      </c>
      <c r="C385" s="9" t="s">
        <v>547</v>
      </c>
      <c r="D385" s="9"/>
      <c r="E385" s="9" t="s">
        <v>512</v>
      </c>
      <c r="F385" s="24">
        <v>6</v>
      </c>
      <c r="G385" s="24">
        <v>3</v>
      </c>
      <c r="H385" s="24">
        <v>6</v>
      </c>
      <c r="I385" s="25">
        <v>7.9</v>
      </c>
      <c r="J385" s="25">
        <v>65.099999999999994</v>
      </c>
      <c r="K385" s="26">
        <v>0.16700000000000001</v>
      </c>
      <c r="L385" s="26">
        <v>0.16700000000000001</v>
      </c>
      <c r="M385" s="27"/>
      <c r="N385" s="31"/>
      <c r="O385" s="28" t="s">
        <v>345</v>
      </c>
      <c r="P385" s="28"/>
      <c r="Q385" s="28" t="s">
        <v>345</v>
      </c>
      <c r="R385" s="29">
        <f>LN(F385+1)/LN(MAX($F$10:$F$511)+1)*100</f>
        <v>19.617488241858492</v>
      </c>
      <c r="S385" s="29">
        <f>IF(H385=0,0,(K385*0.5+L385*0.5)*100)</f>
        <v>16.7</v>
      </c>
      <c r="T385" s="29">
        <f>IF(M385="",0,MIN(100,M385/MAX($M$10:$M$511)*100))</f>
        <v>0</v>
      </c>
      <c r="U385" s="29">
        <f>MIN(100,IF(O385="Yes",50,0)+IF(N385="Yes",30,0)+IF(P385="Yes",20,0))</f>
        <v>0</v>
      </c>
      <c r="V385" s="30">
        <f>ROUND(U385*$C$3+S385*$C$4+T385*$C$5+R385*$C$6,1)</f>
        <v>7.1</v>
      </c>
      <c r="W385" s="9" t="s">
        <v>531</v>
      </c>
    </row>
    <row r="386" spans="1:23" ht="32.25" customHeight="1" x14ac:dyDescent="0.2">
      <c r="A386" s="23">
        <v>410</v>
      </c>
      <c r="B386" s="9" t="s">
        <v>208</v>
      </c>
      <c r="C386" s="9" t="s">
        <v>875</v>
      </c>
      <c r="D386" s="9" t="s">
        <v>876</v>
      </c>
      <c r="E386" s="9" t="s">
        <v>867</v>
      </c>
      <c r="F386" s="24">
        <v>61</v>
      </c>
      <c r="G386" s="24">
        <v>40</v>
      </c>
      <c r="H386" s="24">
        <v>61</v>
      </c>
      <c r="I386" s="25">
        <v>12.4</v>
      </c>
      <c r="J386" s="25">
        <v>22.8</v>
      </c>
      <c r="K386" s="26">
        <v>6.6000000000000003E-2</v>
      </c>
      <c r="L386" s="26">
        <v>0</v>
      </c>
      <c r="M386" s="24">
        <v>7</v>
      </c>
      <c r="N386" s="31"/>
      <c r="O386" s="28" t="s">
        <v>345</v>
      </c>
      <c r="P386" s="28"/>
      <c r="Q386" s="28" t="s">
        <v>345</v>
      </c>
      <c r="R386" s="29">
        <f>LN(F386+1)/LN(MAX($F$10:$F$511)+1)*100</f>
        <v>41.607270669973019</v>
      </c>
      <c r="S386" s="29">
        <f>IF(H386=0,0,(K386*0.5+L386*0.5)*100)</f>
        <v>3.3000000000000003</v>
      </c>
      <c r="T386" s="29">
        <f>IF(M386="",0,MIN(100,M386/MAX($M$10:$M$511)*100))</f>
        <v>9.3520374081496327E-2</v>
      </c>
      <c r="U386" s="29">
        <f>MIN(100,IF(O386="Yes",50,0)+IF(N386="Yes",30,0)+IF(P386="Yes",20,0))</f>
        <v>0</v>
      </c>
      <c r="V386" s="30">
        <f>ROUND(U386*$C$3+S386*$C$4+T386*$C$5+R386*$C$6,1)</f>
        <v>7.1</v>
      </c>
      <c r="W386" s="9" t="s">
        <v>652</v>
      </c>
    </row>
    <row r="387" spans="1:23" ht="21.75" customHeight="1" x14ac:dyDescent="0.2">
      <c r="A387" s="23">
        <v>411</v>
      </c>
      <c r="B387" s="9" t="s">
        <v>476</v>
      </c>
      <c r="C387" s="9" t="s">
        <v>877</v>
      </c>
      <c r="D387" s="9" t="s">
        <v>478</v>
      </c>
      <c r="E387" s="9" t="s">
        <v>538</v>
      </c>
      <c r="F387" s="24">
        <v>88</v>
      </c>
      <c r="G387" s="24">
        <v>61</v>
      </c>
      <c r="H387" s="24">
        <v>88</v>
      </c>
      <c r="I387" s="25">
        <v>1.1000000000000001</v>
      </c>
      <c r="J387" s="25">
        <v>5.7</v>
      </c>
      <c r="K387" s="26">
        <v>0</v>
      </c>
      <c r="L387" s="26">
        <v>0</v>
      </c>
      <c r="M387" s="24">
        <v>83</v>
      </c>
      <c r="N387" s="31"/>
      <c r="O387" s="28" t="s">
        <v>345</v>
      </c>
      <c r="P387" s="28"/>
      <c r="Q387" s="28" t="s">
        <v>345</v>
      </c>
      <c r="R387" s="29">
        <f>LN(F387+1)/LN(MAX($F$10:$F$511)+1)*100</f>
        <v>45.251714858441602</v>
      </c>
      <c r="S387" s="29">
        <f>IF(H387=0,0,(K387*0.5+L387*0.5)*100)</f>
        <v>0</v>
      </c>
      <c r="T387" s="29">
        <f>IF(M387="",0,MIN(100,M387/MAX($M$10:$M$511)*100))</f>
        <v>1.1088844355377421</v>
      </c>
      <c r="U387" s="29">
        <f>MIN(100,IF(O387="Yes",50,0)+IF(N387="Yes",30,0)+IF(P387="Yes",20,0))</f>
        <v>0</v>
      </c>
      <c r="V387" s="30">
        <f>ROUND(U387*$C$3+S387*$C$4+T387*$C$5+R387*$C$6,1)</f>
        <v>7.1</v>
      </c>
      <c r="W387" s="9" t="s">
        <v>652</v>
      </c>
    </row>
    <row r="388" spans="1:23" ht="32.25" customHeight="1" x14ac:dyDescent="0.2">
      <c r="A388" s="23">
        <v>412</v>
      </c>
      <c r="B388" s="9" t="s">
        <v>384</v>
      </c>
      <c r="C388" s="9" t="s">
        <v>661</v>
      </c>
      <c r="D388" s="9"/>
      <c r="E388" s="9" t="s">
        <v>657</v>
      </c>
      <c r="F388" s="24">
        <v>13</v>
      </c>
      <c r="G388" s="24">
        <v>12</v>
      </c>
      <c r="H388" s="24">
        <v>13</v>
      </c>
      <c r="I388" s="25">
        <v>21.1</v>
      </c>
      <c r="J388" s="25">
        <v>72.3</v>
      </c>
      <c r="K388" s="26">
        <v>0.154</v>
      </c>
      <c r="L388" s="26">
        <v>7.6999999999999999E-2</v>
      </c>
      <c r="M388" s="24">
        <v>51</v>
      </c>
      <c r="N388" s="31"/>
      <c r="O388" s="28" t="s">
        <v>345</v>
      </c>
      <c r="P388" s="28"/>
      <c r="Q388" s="28" t="s">
        <v>345</v>
      </c>
      <c r="R388" s="29">
        <f>LN(F388+1)/LN(MAX($F$10:$F$511)+1)*100</f>
        <v>26.605378546615604</v>
      </c>
      <c r="S388" s="29">
        <f>IF(H388=0,0,(K388*0.5+L388*0.5)*100)</f>
        <v>11.549999999999999</v>
      </c>
      <c r="T388" s="29">
        <f>IF(M388="",0,MIN(100,M388/MAX($M$10:$M$511)*100))</f>
        <v>0.68136272545090182</v>
      </c>
      <c r="U388" s="29">
        <f>MIN(100,IF(O388="Yes",50,0)+IF(N388="Yes",30,0)+IF(P388="Yes",20,0))</f>
        <v>0</v>
      </c>
      <c r="V388" s="30">
        <f>ROUND(U388*$C$3+S388*$C$4+T388*$C$5+R388*$C$6,1)</f>
        <v>7</v>
      </c>
      <c r="W388" s="9" t="s">
        <v>827</v>
      </c>
    </row>
    <row r="389" spans="1:23" ht="21.75" customHeight="1" x14ac:dyDescent="0.2">
      <c r="A389" s="23">
        <v>413</v>
      </c>
      <c r="B389" s="9" t="s">
        <v>384</v>
      </c>
      <c r="C389" s="9" t="s">
        <v>878</v>
      </c>
      <c r="D389" s="9" t="s">
        <v>446</v>
      </c>
      <c r="E389" s="9" t="s">
        <v>657</v>
      </c>
      <c r="F389" s="24">
        <v>53</v>
      </c>
      <c r="G389" s="24">
        <v>37</v>
      </c>
      <c r="H389" s="24">
        <v>53</v>
      </c>
      <c r="I389" s="25">
        <v>18</v>
      </c>
      <c r="J389" s="25">
        <v>30.6</v>
      </c>
      <c r="K389" s="26">
        <v>5.7000000000000002E-2</v>
      </c>
      <c r="L389" s="26">
        <v>1.9E-2</v>
      </c>
      <c r="M389" s="24">
        <v>4</v>
      </c>
      <c r="N389" s="31"/>
      <c r="O389" s="28" t="s">
        <v>345</v>
      </c>
      <c r="P389" s="28"/>
      <c r="Q389" s="28" t="s">
        <v>345</v>
      </c>
      <c r="R389" s="29">
        <f>LN(F389+1)/LN(MAX($F$10:$F$511)+1)*100</f>
        <v>40.214522581335984</v>
      </c>
      <c r="S389" s="29">
        <f>IF(H389=0,0,(K389*0.5+L389*0.5)*100)</f>
        <v>3.8</v>
      </c>
      <c r="T389" s="29">
        <f>IF(M389="",0,MIN(100,M389/MAX($M$10:$M$511)*100))</f>
        <v>5.3440213760855046E-2</v>
      </c>
      <c r="U389" s="29">
        <f>MIN(100,IF(O389="Yes",50,0)+IF(N389="Yes",30,0)+IF(P389="Yes",20,0))</f>
        <v>0</v>
      </c>
      <c r="V389" s="30">
        <f>ROUND(U389*$C$3+S389*$C$4+T389*$C$5+R389*$C$6,1)</f>
        <v>7</v>
      </c>
      <c r="W389" s="9" t="s">
        <v>652</v>
      </c>
    </row>
    <row r="390" spans="1:23" ht="21.75" customHeight="1" x14ac:dyDescent="0.2">
      <c r="A390" s="23">
        <v>106</v>
      </c>
      <c r="B390" s="9" t="s">
        <v>366</v>
      </c>
      <c r="C390" s="9" t="s">
        <v>548</v>
      </c>
      <c r="D390" s="9" t="s">
        <v>549</v>
      </c>
      <c r="E390" s="9" t="s">
        <v>550</v>
      </c>
      <c r="F390" s="24">
        <v>13</v>
      </c>
      <c r="G390" s="24">
        <v>16</v>
      </c>
      <c r="H390" s="24">
        <v>13</v>
      </c>
      <c r="I390" s="25">
        <v>12.5</v>
      </c>
      <c r="J390" s="25">
        <v>69.7</v>
      </c>
      <c r="K390" s="26">
        <v>0.154</v>
      </c>
      <c r="L390" s="26">
        <v>7.6999999999999999E-2</v>
      </c>
      <c r="M390" s="27"/>
      <c r="N390" s="31"/>
      <c r="O390" s="28" t="s">
        <v>345</v>
      </c>
      <c r="P390" s="28"/>
      <c r="Q390" s="28" t="s">
        <v>345</v>
      </c>
      <c r="R390" s="29">
        <f>LN(F390+1)/LN(MAX($F$10:$F$511)+1)*100</f>
        <v>26.605378546615604</v>
      </c>
      <c r="S390" s="29">
        <f>IF(H390=0,0,(K390*0.5+L390*0.5)*100)</f>
        <v>11.549999999999999</v>
      </c>
      <c r="T390" s="29">
        <f>IF(M390="",0,MIN(100,M390/MAX($M$10:$M$511)*100))</f>
        <v>0</v>
      </c>
      <c r="U390" s="29">
        <f>MIN(100,IF(O390="Yes",50,0)+IF(N390="Yes",30,0)+IF(P390="Yes",20,0))</f>
        <v>0</v>
      </c>
      <c r="V390" s="30">
        <f>ROUND(U390*$C$3+S390*$C$4+T390*$C$5+R390*$C$6,1)</f>
        <v>6.9</v>
      </c>
      <c r="W390" s="9" t="s">
        <v>355</v>
      </c>
    </row>
    <row r="391" spans="1:23" ht="21.75" customHeight="1" x14ac:dyDescent="0.2">
      <c r="A391" s="23">
        <v>414</v>
      </c>
      <c r="B391" s="9" t="s">
        <v>384</v>
      </c>
      <c r="C391" s="9" t="s">
        <v>761</v>
      </c>
      <c r="D391" s="9" t="s">
        <v>872</v>
      </c>
      <c r="E391" s="9" t="s">
        <v>657</v>
      </c>
      <c r="F391" s="24">
        <v>20</v>
      </c>
      <c r="G391" s="24">
        <v>128</v>
      </c>
      <c r="H391" s="24">
        <v>20</v>
      </c>
      <c r="I391" s="25">
        <v>32.5</v>
      </c>
      <c r="J391" s="25">
        <v>42.6</v>
      </c>
      <c r="K391" s="26">
        <v>0.05</v>
      </c>
      <c r="L391" s="26">
        <v>0.05</v>
      </c>
      <c r="M391" s="24">
        <v>302</v>
      </c>
      <c r="N391" s="31"/>
      <c r="O391" s="28" t="s">
        <v>345</v>
      </c>
      <c r="P391" s="28"/>
      <c r="Q391" s="28" t="s">
        <v>345</v>
      </c>
      <c r="R391" s="29">
        <f>LN(F391+1)/LN(MAX($F$10:$F$511)+1)*100</f>
        <v>30.693032334051452</v>
      </c>
      <c r="S391" s="29">
        <f>IF(H391=0,0,(K391*0.5+L391*0.5)*100)</f>
        <v>5</v>
      </c>
      <c r="T391" s="29">
        <f>IF(M391="",0,MIN(100,M391/MAX($M$10:$M$511)*100))</f>
        <v>4.034736138944556</v>
      </c>
      <c r="U391" s="29">
        <f>MIN(100,IF(O391="Yes",50,0)+IF(N391="Yes",30,0)+IF(P391="Yes",20,0))</f>
        <v>0</v>
      </c>
      <c r="V391" s="30">
        <f>ROUND(U391*$C$3+S391*$C$4+T391*$C$5+R391*$C$6,1)</f>
        <v>6.9</v>
      </c>
      <c r="W391" s="9" t="s">
        <v>370</v>
      </c>
    </row>
    <row r="392" spans="1:23" ht="15" customHeight="1" x14ac:dyDescent="0.2">
      <c r="A392" s="23">
        <v>415</v>
      </c>
      <c r="B392" s="9" t="s">
        <v>416</v>
      </c>
      <c r="C392" s="9" t="s">
        <v>879</v>
      </c>
      <c r="D392" s="9" t="s">
        <v>880</v>
      </c>
      <c r="E392" s="9" t="s">
        <v>881</v>
      </c>
      <c r="F392" s="24">
        <v>14</v>
      </c>
      <c r="G392" s="24">
        <v>10</v>
      </c>
      <c r="H392" s="24">
        <v>14</v>
      </c>
      <c r="I392" s="25">
        <v>49.9</v>
      </c>
      <c r="J392" s="25">
        <v>63.8</v>
      </c>
      <c r="K392" s="26">
        <v>0.14299999999999999</v>
      </c>
      <c r="L392" s="26">
        <v>7.0999999999999994E-2</v>
      </c>
      <c r="M392" s="24">
        <v>6</v>
      </c>
      <c r="N392" s="31"/>
      <c r="O392" s="28" t="s">
        <v>345</v>
      </c>
      <c r="P392" s="28"/>
      <c r="Q392" s="28" t="s">
        <v>345</v>
      </c>
      <c r="R392" s="29">
        <f>LN(F392+1)/LN(MAX($F$10:$F$511)+1)*100</f>
        <v>27.300922914799507</v>
      </c>
      <c r="S392" s="29">
        <f>IF(H392=0,0,(K392*0.5+L392*0.5)*100)</f>
        <v>10.7</v>
      </c>
      <c r="T392" s="29">
        <f>IF(M392="",0,MIN(100,M392/MAX($M$10:$M$511)*100))</f>
        <v>8.0160320641282562E-2</v>
      </c>
      <c r="U392" s="29">
        <f>MIN(100,IF(O392="Yes",50,0)+IF(N392="Yes",30,0)+IF(P392="Yes",20,0))</f>
        <v>0</v>
      </c>
      <c r="V392" s="30">
        <f>ROUND(U392*$C$3+S392*$C$4+T392*$C$5+R392*$C$6,1)</f>
        <v>6.8</v>
      </c>
      <c r="W392" s="9" t="s">
        <v>652</v>
      </c>
    </row>
    <row r="393" spans="1:23" ht="21.75" customHeight="1" x14ac:dyDescent="0.2">
      <c r="A393" s="23">
        <v>416</v>
      </c>
      <c r="B393" s="9" t="s">
        <v>351</v>
      </c>
      <c r="C393" s="9" t="s">
        <v>882</v>
      </c>
      <c r="D393" s="9" t="s">
        <v>789</v>
      </c>
      <c r="E393" s="9" t="s">
        <v>354</v>
      </c>
      <c r="F393" s="24">
        <v>15</v>
      </c>
      <c r="G393" s="24">
        <v>17</v>
      </c>
      <c r="H393" s="24">
        <v>15</v>
      </c>
      <c r="I393" s="25">
        <v>26.2</v>
      </c>
      <c r="J393" s="25">
        <v>40.9</v>
      </c>
      <c r="K393" s="26">
        <v>0.2</v>
      </c>
      <c r="L393" s="26">
        <v>0</v>
      </c>
      <c r="M393" s="24">
        <v>18</v>
      </c>
      <c r="N393" s="31"/>
      <c r="O393" s="28" t="s">
        <v>345</v>
      </c>
      <c r="P393" s="28"/>
      <c r="Q393" s="28" t="s">
        <v>345</v>
      </c>
      <c r="R393" s="29">
        <f>LN(F393+1)/LN(MAX($F$10:$F$511)+1)*100</f>
        <v>27.951561219028452</v>
      </c>
      <c r="S393" s="29">
        <f>IF(H393=0,0,(K393*0.5+L393*0.5)*100)</f>
        <v>10</v>
      </c>
      <c r="T393" s="29">
        <f>IF(M393="",0,MIN(100,M393/MAX($M$10:$M$511)*100))</f>
        <v>0.24048096192384769</v>
      </c>
      <c r="U393" s="29">
        <f>MIN(100,IF(O393="Yes",50,0)+IF(N393="Yes",30,0)+IF(P393="Yes",20,0))</f>
        <v>0</v>
      </c>
      <c r="V393" s="30">
        <f>ROUND(U393*$C$3+S393*$C$4+T393*$C$5+R393*$C$6,1)</f>
        <v>6.8</v>
      </c>
      <c r="W393" s="9" t="s">
        <v>370</v>
      </c>
    </row>
    <row r="394" spans="1:23" ht="21.75" customHeight="1" x14ac:dyDescent="0.2">
      <c r="A394" s="23">
        <v>108</v>
      </c>
      <c r="B394" s="9" t="s">
        <v>397</v>
      </c>
      <c r="C394" s="9" t="s">
        <v>552</v>
      </c>
      <c r="D394" s="9"/>
      <c r="E394" s="9" t="s">
        <v>553</v>
      </c>
      <c r="F394" s="24">
        <v>15</v>
      </c>
      <c r="G394" s="24">
        <v>7</v>
      </c>
      <c r="H394" s="24">
        <v>5</v>
      </c>
      <c r="I394" s="25">
        <v>3.5</v>
      </c>
      <c r="J394" s="25">
        <v>28.5</v>
      </c>
      <c r="K394" s="26">
        <v>0.2</v>
      </c>
      <c r="L394" s="26">
        <v>0</v>
      </c>
      <c r="M394" s="27"/>
      <c r="N394" s="31"/>
      <c r="O394" s="28" t="s">
        <v>345</v>
      </c>
      <c r="P394" s="28"/>
      <c r="Q394" s="28" t="s">
        <v>345</v>
      </c>
      <c r="R394" s="29">
        <f>LN(F394+1)/LN(MAX($F$10:$F$511)+1)*100</f>
        <v>27.951561219028452</v>
      </c>
      <c r="S394" s="29">
        <f>IF(H394=0,0,(K394*0.5+L394*0.5)*100)</f>
        <v>10</v>
      </c>
      <c r="T394" s="29">
        <f>IF(M394="",0,MIN(100,M394/MAX($M$10:$M$511)*100))</f>
        <v>0</v>
      </c>
      <c r="U394" s="29">
        <f>MIN(100,IF(O394="Yes",50,0)+IF(N394="Yes",30,0)+IF(P394="Yes",20,0))</f>
        <v>0</v>
      </c>
      <c r="V394" s="30">
        <f>ROUND(U394*$C$3+S394*$C$4+T394*$C$5+R394*$C$6,1)</f>
        <v>6.7</v>
      </c>
      <c r="W394" s="9" t="s">
        <v>518</v>
      </c>
    </row>
    <row r="395" spans="1:23" ht="32.25" customHeight="1" x14ac:dyDescent="0.2">
      <c r="A395" s="23">
        <v>417</v>
      </c>
      <c r="B395" s="9" t="s">
        <v>416</v>
      </c>
      <c r="C395" s="9" t="s">
        <v>620</v>
      </c>
      <c r="D395" s="9" t="s">
        <v>883</v>
      </c>
      <c r="E395" s="9" t="s">
        <v>884</v>
      </c>
      <c r="F395" s="24">
        <v>43</v>
      </c>
      <c r="G395" s="24">
        <v>22</v>
      </c>
      <c r="H395" s="24">
        <v>43</v>
      </c>
      <c r="I395" s="25">
        <v>15.1</v>
      </c>
      <c r="J395" s="25">
        <v>28.3</v>
      </c>
      <c r="K395" s="26">
        <v>4.7E-2</v>
      </c>
      <c r="L395" s="26">
        <v>2.3E-2</v>
      </c>
      <c r="M395" s="24">
        <v>32</v>
      </c>
      <c r="N395" s="31"/>
      <c r="O395" s="28" t="s">
        <v>345</v>
      </c>
      <c r="P395" s="28"/>
      <c r="Q395" s="28" t="s">
        <v>345</v>
      </c>
      <c r="R395" s="29">
        <f>LN(F395+1)/LN(MAX($F$10:$F$511)+1)*100</f>
        <v>38.149909277360003</v>
      </c>
      <c r="S395" s="29">
        <f>IF(H395=0,0,(K395*0.5+L395*0.5)*100)</f>
        <v>3.5000000000000004</v>
      </c>
      <c r="T395" s="29">
        <f>IF(M395="",0,MIN(100,M395/MAX($M$10:$M$511)*100))</f>
        <v>0.42752171008684037</v>
      </c>
      <c r="U395" s="29">
        <f>MIN(100,IF(O395="Yes",50,0)+IF(N395="Yes",30,0)+IF(P395="Yes",20,0))</f>
        <v>0</v>
      </c>
      <c r="V395" s="30">
        <f>ROUND(U395*$C$3+S395*$C$4+T395*$C$5+R395*$C$6,1)</f>
        <v>6.7</v>
      </c>
      <c r="W395" s="9" t="s">
        <v>652</v>
      </c>
    </row>
    <row r="396" spans="1:23" ht="32.25" customHeight="1" x14ac:dyDescent="0.2">
      <c r="A396" s="23">
        <v>110</v>
      </c>
      <c r="B396" s="9" t="s">
        <v>476</v>
      </c>
      <c r="C396" s="9" t="s">
        <v>555</v>
      </c>
      <c r="D396" s="9"/>
      <c r="E396" s="9" t="s">
        <v>538</v>
      </c>
      <c r="F396" s="24">
        <v>59</v>
      </c>
      <c r="G396" s="24">
        <v>28</v>
      </c>
      <c r="H396" s="24">
        <v>59</v>
      </c>
      <c r="I396" s="25">
        <v>0.9</v>
      </c>
      <c r="J396" s="25">
        <v>8.1</v>
      </c>
      <c r="K396" s="26">
        <v>1.7000000000000001E-2</v>
      </c>
      <c r="L396" s="26">
        <v>1.7000000000000001E-2</v>
      </c>
      <c r="M396" s="27"/>
      <c r="N396" s="31"/>
      <c r="O396" s="28" t="s">
        <v>345</v>
      </c>
      <c r="P396" s="28"/>
      <c r="Q396" s="28" t="s">
        <v>345</v>
      </c>
      <c r="R396" s="29">
        <f>LN(F396+1)/LN(MAX($F$10:$F$511)+1)*100</f>
        <v>41.276703524313731</v>
      </c>
      <c r="S396" s="29">
        <f>IF(H396=0,0,(K396*0.5+L396*0.5)*100)</f>
        <v>1.7000000000000002</v>
      </c>
      <c r="T396" s="29">
        <f>IF(M396="",0,MIN(100,M396/MAX($M$10:$M$511)*100))</f>
        <v>0</v>
      </c>
      <c r="U396" s="29">
        <f>MIN(100,IF(O396="Yes",50,0)+IF(N396="Yes",30,0)+IF(P396="Yes",20,0))</f>
        <v>0</v>
      </c>
      <c r="V396" s="30">
        <f>ROUND(U396*$C$3+S396*$C$4+T396*$C$5+R396*$C$6,1)</f>
        <v>6.6</v>
      </c>
      <c r="W396" s="9" t="s">
        <v>518</v>
      </c>
    </row>
    <row r="397" spans="1:23" ht="21.75" customHeight="1" x14ac:dyDescent="0.2">
      <c r="A397" s="23">
        <v>418</v>
      </c>
      <c r="B397" s="9" t="s">
        <v>416</v>
      </c>
      <c r="C397" s="9" t="s">
        <v>885</v>
      </c>
      <c r="D397" s="9" t="s">
        <v>195</v>
      </c>
      <c r="E397" s="9" t="s">
        <v>886</v>
      </c>
      <c r="F397" s="24">
        <v>75</v>
      </c>
      <c r="G397" s="24">
        <v>39</v>
      </c>
      <c r="H397" s="24">
        <v>75</v>
      </c>
      <c r="I397" s="25">
        <v>0</v>
      </c>
      <c r="J397" s="25">
        <v>0.5</v>
      </c>
      <c r="K397" s="26">
        <v>0</v>
      </c>
      <c r="L397" s="26">
        <v>0</v>
      </c>
      <c r="M397" s="24">
        <v>1</v>
      </c>
      <c r="N397" s="31"/>
      <c r="O397" s="28" t="s">
        <v>345</v>
      </c>
      <c r="P397" s="28"/>
      <c r="Q397" s="28" t="s">
        <v>345</v>
      </c>
      <c r="R397" s="29">
        <f>LN(F397+1)/LN(MAX($F$10:$F$511)+1)*100</f>
        <v>43.659832096017645</v>
      </c>
      <c r="S397" s="29">
        <f>IF(H397=0,0,(K397*0.5+L397*0.5)*100)</f>
        <v>0</v>
      </c>
      <c r="T397" s="29">
        <f>IF(M397="",0,MIN(100,M397/MAX($M$10:$M$511)*100))</f>
        <v>1.3360053440213761E-2</v>
      </c>
      <c r="U397" s="29">
        <f>MIN(100,IF(O397="Yes",50,0)+IF(N397="Yes",30,0)+IF(P397="Yes",20,0))</f>
        <v>0</v>
      </c>
      <c r="V397" s="30">
        <f>ROUND(U397*$C$3+S397*$C$4+T397*$C$5+R397*$C$6,1)</f>
        <v>6.6</v>
      </c>
      <c r="W397" s="9" t="s">
        <v>652</v>
      </c>
    </row>
    <row r="398" spans="1:23" ht="15" customHeight="1" x14ac:dyDescent="0.2">
      <c r="A398" s="23">
        <v>111</v>
      </c>
      <c r="B398" s="9" t="s">
        <v>248</v>
      </c>
      <c r="C398" s="9" t="s">
        <v>556</v>
      </c>
      <c r="D398" s="9" t="s">
        <v>557</v>
      </c>
      <c r="E398" s="9" t="s">
        <v>558</v>
      </c>
      <c r="F398" s="24">
        <v>71</v>
      </c>
      <c r="G398" s="24">
        <v>46</v>
      </c>
      <c r="H398" s="24">
        <v>71</v>
      </c>
      <c r="I398" s="25">
        <v>0.2</v>
      </c>
      <c r="J398" s="25">
        <v>8.1999999999999993</v>
      </c>
      <c r="K398" s="26">
        <v>0</v>
      </c>
      <c r="L398" s="26">
        <v>0</v>
      </c>
      <c r="M398" s="27"/>
      <c r="N398" s="31"/>
      <c r="O398" s="28" t="s">
        <v>345</v>
      </c>
      <c r="P398" s="28"/>
      <c r="Q398" s="28" t="s">
        <v>345</v>
      </c>
      <c r="R398" s="29">
        <f>LN(F398+1)/LN(MAX($F$10:$F$511)+1)*100</f>
        <v>43.114759098657252</v>
      </c>
      <c r="S398" s="29">
        <f>IF(H398=0,0,(K398*0.5+L398*0.5)*100)</f>
        <v>0</v>
      </c>
      <c r="T398" s="29">
        <f>IF(M398="",0,MIN(100,M398/MAX($M$10:$M$511)*100))</f>
        <v>0</v>
      </c>
      <c r="U398" s="29">
        <f>MIN(100,IF(O398="Yes",50,0)+IF(N398="Yes",30,0)+IF(P398="Yes",20,0))</f>
        <v>0</v>
      </c>
      <c r="V398" s="30">
        <f>ROUND(U398*$C$3+S398*$C$4+T398*$C$5+R398*$C$6,1)</f>
        <v>6.5</v>
      </c>
      <c r="W398" s="9" t="s">
        <v>355</v>
      </c>
    </row>
    <row r="399" spans="1:23" ht="21.75" customHeight="1" x14ac:dyDescent="0.2">
      <c r="A399" s="23">
        <v>419</v>
      </c>
      <c r="B399" s="9" t="s">
        <v>416</v>
      </c>
      <c r="C399" s="9" t="s">
        <v>887</v>
      </c>
      <c r="D399" s="9"/>
      <c r="E399" s="9" t="s">
        <v>888</v>
      </c>
      <c r="F399" s="24">
        <v>23</v>
      </c>
      <c r="G399" s="24">
        <v>22</v>
      </c>
      <c r="H399" s="24">
        <v>23</v>
      </c>
      <c r="I399" s="25">
        <v>13.9</v>
      </c>
      <c r="J399" s="25">
        <v>31.3</v>
      </c>
      <c r="K399" s="26">
        <v>8.6999999999999994E-2</v>
      </c>
      <c r="L399" s="26">
        <v>4.2999999999999997E-2</v>
      </c>
      <c r="M399" s="24">
        <v>35</v>
      </c>
      <c r="N399" s="31"/>
      <c r="O399" s="28" t="s">
        <v>345</v>
      </c>
      <c r="P399" s="28"/>
      <c r="Q399" s="28" t="s">
        <v>345</v>
      </c>
      <c r="R399" s="29">
        <f>LN(F399+1)/LN(MAX($F$10:$F$511)+1)*100</f>
        <v>32.039215006464296</v>
      </c>
      <c r="S399" s="29">
        <f>IF(H399=0,0,(K399*0.5+L399*0.5)*100)</f>
        <v>6.5</v>
      </c>
      <c r="T399" s="29">
        <f>IF(M399="",0,MIN(100,M399/MAX($M$10:$M$511)*100))</f>
        <v>0.46760187040748163</v>
      </c>
      <c r="U399" s="29">
        <f>MIN(100,IF(O399="Yes",50,0)+IF(N399="Yes",30,0)+IF(P399="Yes",20,0))</f>
        <v>0</v>
      </c>
      <c r="V399" s="30">
        <f>ROUND(U399*$C$3+S399*$C$4+T399*$C$5+R399*$C$6,1)</f>
        <v>6.5</v>
      </c>
      <c r="W399" s="9" t="s">
        <v>827</v>
      </c>
    </row>
    <row r="400" spans="1:23" ht="21.75" customHeight="1" x14ac:dyDescent="0.2">
      <c r="A400" s="23">
        <v>420</v>
      </c>
      <c r="B400" s="9" t="s">
        <v>366</v>
      </c>
      <c r="C400" s="9" t="s">
        <v>889</v>
      </c>
      <c r="D400" s="9" t="s">
        <v>362</v>
      </c>
      <c r="E400" s="9" t="s">
        <v>651</v>
      </c>
      <c r="F400" s="24">
        <v>35</v>
      </c>
      <c r="G400" s="24">
        <v>24</v>
      </c>
      <c r="H400" s="24">
        <v>35</v>
      </c>
      <c r="I400" s="25">
        <v>38.9</v>
      </c>
      <c r="J400" s="25">
        <v>42.2</v>
      </c>
      <c r="K400" s="26">
        <v>8.5999999999999993E-2</v>
      </c>
      <c r="L400" s="26">
        <v>0</v>
      </c>
      <c r="M400" s="24">
        <v>2</v>
      </c>
      <c r="N400" s="31"/>
      <c r="O400" s="28" t="s">
        <v>345</v>
      </c>
      <c r="P400" s="28"/>
      <c r="Q400" s="28" t="s">
        <v>345</v>
      </c>
      <c r="R400" s="29">
        <f>LN(F400+1)/LN(MAX($F$10:$F$511)+1)*100</f>
        <v>36.126868793900137</v>
      </c>
      <c r="S400" s="29">
        <f>IF(H400=0,0,(K400*0.5+L400*0.5)*100)</f>
        <v>4.3</v>
      </c>
      <c r="T400" s="29">
        <f>IF(M400="",0,MIN(100,M400/MAX($M$10:$M$511)*100))</f>
        <v>2.6720106880427523E-2</v>
      </c>
      <c r="U400" s="29">
        <f>MIN(100,IF(O400="Yes",50,0)+IF(N400="Yes",30,0)+IF(P400="Yes",20,0))</f>
        <v>0</v>
      </c>
      <c r="V400" s="30">
        <f>ROUND(U400*$C$3+S400*$C$4+T400*$C$5+R400*$C$6,1)</f>
        <v>6.5</v>
      </c>
      <c r="W400" s="9" t="s">
        <v>652</v>
      </c>
    </row>
    <row r="401" spans="1:23" ht="21.75" customHeight="1" x14ac:dyDescent="0.2">
      <c r="A401" s="23">
        <v>421</v>
      </c>
      <c r="B401" s="9" t="s">
        <v>384</v>
      </c>
      <c r="C401" s="9" t="s">
        <v>655</v>
      </c>
      <c r="D401" s="9" t="s">
        <v>862</v>
      </c>
      <c r="E401" s="9" t="s">
        <v>657</v>
      </c>
      <c r="F401" s="24">
        <v>10</v>
      </c>
      <c r="G401" s="24">
        <v>67</v>
      </c>
      <c r="H401" s="24">
        <v>10</v>
      </c>
      <c r="I401" s="25">
        <v>18.899999999999999</v>
      </c>
      <c r="J401" s="25">
        <v>39.5</v>
      </c>
      <c r="K401" s="26">
        <v>0.2</v>
      </c>
      <c r="L401" s="26">
        <v>0</v>
      </c>
      <c r="M401" s="24">
        <v>108</v>
      </c>
      <c r="N401" s="31"/>
      <c r="O401" s="28" t="s">
        <v>345</v>
      </c>
      <c r="P401" s="28"/>
      <c r="Q401" s="28" t="s">
        <v>345</v>
      </c>
      <c r="R401" s="29">
        <f>LN(F401+1)/LN(MAX($F$10:$F$511)+1)*100</f>
        <v>24.174128667845775</v>
      </c>
      <c r="S401" s="29">
        <f>IF(H401=0,0,(K401*0.5+L401*0.5)*100)</f>
        <v>10</v>
      </c>
      <c r="T401" s="29">
        <f>IF(M401="",0,MIN(100,M401/MAX($M$10:$M$511)*100))</f>
        <v>1.4428857715430863</v>
      </c>
      <c r="U401" s="29">
        <f>MIN(100,IF(O401="Yes",50,0)+IF(N401="Yes",30,0)+IF(P401="Yes",20,0))</f>
        <v>0</v>
      </c>
      <c r="V401" s="30">
        <f>ROUND(U401*$C$3+S401*$C$4+T401*$C$5+R401*$C$6,1)</f>
        <v>6.5</v>
      </c>
      <c r="W401" s="9" t="s">
        <v>370</v>
      </c>
    </row>
    <row r="402" spans="1:23" ht="21.75" customHeight="1" x14ac:dyDescent="0.2">
      <c r="A402" s="23">
        <v>422</v>
      </c>
      <c r="B402" s="9" t="s">
        <v>280</v>
      </c>
      <c r="C402" s="9" t="s">
        <v>703</v>
      </c>
      <c r="D402" s="9" t="s">
        <v>890</v>
      </c>
      <c r="E402" s="9" t="s">
        <v>535</v>
      </c>
      <c r="F402" s="24">
        <v>8</v>
      </c>
      <c r="G402" s="24">
        <v>36</v>
      </c>
      <c r="H402" s="24">
        <v>8</v>
      </c>
      <c r="I402" s="25">
        <v>28</v>
      </c>
      <c r="J402" s="25">
        <v>48.5</v>
      </c>
      <c r="K402" s="26">
        <v>0.25</v>
      </c>
      <c r="L402" s="26">
        <v>0</v>
      </c>
      <c r="M402" s="24">
        <v>3</v>
      </c>
      <c r="N402" s="31"/>
      <c r="O402" s="28" t="s">
        <v>345</v>
      </c>
      <c r="P402" s="28"/>
      <c r="Q402" s="28" t="s">
        <v>345</v>
      </c>
      <c r="R402" s="29">
        <f>LN(F402+1)/LN(MAX($F$10:$F$511)+1)*100</f>
        <v>22.151088184385912</v>
      </c>
      <c r="S402" s="29">
        <f>IF(H402=0,0,(K402*0.5+L402*0.5)*100)</f>
        <v>12.5</v>
      </c>
      <c r="T402" s="29">
        <f>IF(M402="",0,MIN(100,M402/MAX($M$10:$M$511)*100))</f>
        <v>4.0080160320641281E-2</v>
      </c>
      <c r="U402" s="29">
        <f>MIN(100,IF(O402="Yes",50,0)+IF(N402="Yes",30,0)+IF(P402="Yes",20,0))</f>
        <v>0</v>
      </c>
      <c r="V402" s="30">
        <f>ROUND(U402*$C$3+S402*$C$4+T402*$C$5+R402*$C$6,1)</f>
        <v>6.5</v>
      </c>
      <c r="W402" s="9" t="s">
        <v>738</v>
      </c>
    </row>
    <row r="403" spans="1:23" ht="32.25" customHeight="1" x14ac:dyDescent="0.2">
      <c r="A403" s="23">
        <v>423</v>
      </c>
      <c r="B403" s="9" t="s">
        <v>280</v>
      </c>
      <c r="C403" s="9" t="s">
        <v>891</v>
      </c>
      <c r="D403" s="9" t="s">
        <v>587</v>
      </c>
      <c r="E403" s="9" t="s">
        <v>503</v>
      </c>
      <c r="F403" s="24">
        <v>8</v>
      </c>
      <c r="G403" s="24">
        <v>11</v>
      </c>
      <c r="H403" s="24">
        <v>8</v>
      </c>
      <c r="I403" s="25">
        <v>25.7</v>
      </c>
      <c r="J403" s="25">
        <v>53.8</v>
      </c>
      <c r="K403" s="26">
        <v>0.125</v>
      </c>
      <c r="L403" s="26">
        <v>0.125</v>
      </c>
      <c r="M403" s="24">
        <v>2</v>
      </c>
      <c r="N403" s="31"/>
      <c r="O403" s="28" t="s">
        <v>345</v>
      </c>
      <c r="P403" s="28"/>
      <c r="Q403" s="28" t="s">
        <v>345</v>
      </c>
      <c r="R403" s="29">
        <f>LN(F403+1)/LN(MAX($F$10:$F$511)+1)*100</f>
        <v>22.151088184385912</v>
      </c>
      <c r="S403" s="29">
        <f>IF(H403=0,0,(K403*0.5+L403*0.5)*100)</f>
        <v>12.5</v>
      </c>
      <c r="T403" s="29">
        <f>IF(M403="",0,MIN(100,M403/MAX($M$10:$M$511)*100))</f>
        <v>2.6720106880427523E-2</v>
      </c>
      <c r="U403" s="29">
        <f>MIN(100,IF(O403="Yes",50,0)+IF(N403="Yes",30,0)+IF(P403="Yes",20,0))</f>
        <v>0</v>
      </c>
      <c r="V403" s="30">
        <f>ROUND(U403*$C$3+S403*$C$4+T403*$C$5+R403*$C$6,1)</f>
        <v>6.5</v>
      </c>
      <c r="W403" s="9" t="s">
        <v>738</v>
      </c>
    </row>
    <row r="404" spans="1:23" ht="32.25" customHeight="1" x14ac:dyDescent="0.2">
      <c r="A404" s="23">
        <v>113</v>
      </c>
      <c r="B404" s="9" t="s">
        <v>476</v>
      </c>
      <c r="C404" s="9" t="s">
        <v>561</v>
      </c>
      <c r="D404" s="9" t="s">
        <v>540</v>
      </c>
      <c r="E404" s="9" t="s">
        <v>562</v>
      </c>
      <c r="F404" s="24">
        <v>70</v>
      </c>
      <c r="G404" s="24">
        <v>30</v>
      </c>
      <c r="H404" s="24">
        <v>70</v>
      </c>
      <c r="I404" s="25">
        <v>0.6</v>
      </c>
      <c r="J404" s="25">
        <v>1.6</v>
      </c>
      <c r="K404" s="26">
        <v>0</v>
      </c>
      <c r="L404" s="26">
        <v>0</v>
      </c>
      <c r="M404" s="27"/>
      <c r="N404" s="31"/>
      <c r="O404" s="28" t="s">
        <v>345</v>
      </c>
      <c r="P404" s="28"/>
      <c r="Q404" s="28" t="s">
        <v>345</v>
      </c>
      <c r="R404" s="29">
        <f>LN(F404+1)/LN(MAX($F$10:$F$511)+1)*100</f>
        <v>42.973758273094752</v>
      </c>
      <c r="S404" s="29">
        <f>IF(H404=0,0,(K404*0.5+L404*0.5)*100)</f>
        <v>0</v>
      </c>
      <c r="T404" s="29">
        <f>IF(M404="",0,MIN(100,M404/MAX($M$10:$M$511)*100))</f>
        <v>0</v>
      </c>
      <c r="U404" s="29">
        <f>MIN(100,IF(O404="Yes",50,0)+IF(N404="Yes",30,0)+IF(P404="Yes",20,0))</f>
        <v>0</v>
      </c>
      <c r="V404" s="30">
        <f>ROUND(U404*$C$3+S404*$C$4+T404*$C$5+R404*$C$6,1)</f>
        <v>6.4</v>
      </c>
      <c r="W404" s="9" t="s">
        <v>355</v>
      </c>
    </row>
    <row r="405" spans="1:23" ht="32.25" customHeight="1" x14ac:dyDescent="0.2">
      <c r="A405" s="23">
        <v>114</v>
      </c>
      <c r="B405" s="9" t="s">
        <v>248</v>
      </c>
      <c r="C405" s="9" t="s">
        <v>563</v>
      </c>
      <c r="D405" s="9" t="s">
        <v>564</v>
      </c>
      <c r="E405" s="9" t="s">
        <v>565</v>
      </c>
      <c r="F405" s="24">
        <v>62</v>
      </c>
      <c r="G405" s="24">
        <v>42</v>
      </c>
      <c r="H405" s="24">
        <v>62</v>
      </c>
      <c r="I405" s="25">
        <v>2.1</v>
      </c>
      <c r="J405" s="25">
        <v>7.8</v>
      </c>
      <c r="K405" s="26">
        <v>0</v>
      </c>
      <c r="L405" s="26">
        <v>0</v>
      </c>
      <c r="M405" s="27"/>
      <c r="N405" s="31"/>
      <c r="O405" s="28" t="s">
        <v>345</v>
      </c>
      <c r="P405" s="28"/>
      <c r="Q405" s="28" t="s">
        <v>345</v>
      </c>
      <c r="R405" s="29">
        <f>LN(F405+1)/LN(MAX($F$10:$F$511)+1)*100</f>
        <v>41.768576426244401</v>
      </c>
      <c r="S405" s="29">
        <f>IF(H405=0,0,(K405*0.5+L405*0.5)*100)</f>
        <v>0</v>
      </c>
      <c r="T405" s="29">
        <f>IF(M405="",0,MIN(100,M405/MAX($M$10:$M$511)*100))</f>
        <v>0</v>
      </c>
      <c r="U405" s="29">
        <f>MIN(100,IF(O405="Yes",50,0)+IF(N405="Yes",30,0)+IF(P405="Yes",20,0))</f>
        <v>0</v>
      </c>
      <c r="V405" s="30">
        <f>ROUND(U405*$C$3+S405*$C$4+T405*$C$5+R405*$C$6,1)</f>
        <v>6.3</v>
      </c>
      <c r="W405" s="9" t="s">
        <v>355</v>
      </c>
    </row>
    <row r="406" spans="1:23" ht="15" customHeight="1" x14ac:dyDescent="0.2">
      <c r="A406" s="23">
        <v>424</v>
      </c>
      <c r="B406" s="9" t="s">
        <v>416</v>
      </c>
      <c r="C406" s="9" t="s">
        <v>892</v>
      </c>
      <c r="D406" s="9" t="s">
        <v>236</v>
      </c>
      <c r="E406" s="9" t="s">
        <v>418</v>
      </c>
      <c r="F406" s="24">
        <v>3</v>
      </c>
      <c r="G406" s="24">
        <v>4</v>
      </c>
      <c r="H406" s="24">
        <v>3</v>
      </c>
      <c r="I406" s="25">
        <v>6.9</v>
      </c>
      <c r="J406" s="25">
        <v>42</v>
      </c>
      <c r="K406" s="26">
        <v>0.33300000000000002</v>
      </c>
      <c r="L406" s="26">
        <v>0</v>
      </c>
      <c r="M406" s="24">
        <v>18</v>
      </c>
      <c r="N406" s="31"/>
      <c r="O406" s="28" t="s">
        <v>345</v>
      </c>
      <c r="P406" s="28"/>
      <c r="Q406" s="28" t="s">
        <v>345</v>
      </c>
      <c r="R406" s="29">
        <f>LN(F406+1)/LN(MAX($F$10:$F$511)+1)*100</f>
        <v>13.975780609514226</v>
      </c>
      <c r="S406" s="29">
        <f>IF(H406=0,0,(K406*0.5+L406*0.5)*100)</f>
        <v>16.650000000000002</v>
      </c>
      <c r="T406" s="29">
        <f>IF(M406="",0,MIN(100,M406/MAX($M$10:$M$511)*100))</f>
        <v>0.24048096192384769</v>
      </c>
      <c r="U406" s="29">
        <f>MIN(100,IF(O406="Yes",50,0)+IF(N406="Yes",30,0)+IF(P406="Yes",20,0))</f>
        <v>0</v>
      </c>
      <c r="V406" s="30">
        <f>ROUND(U406*$C$3+S406*$C$4+T406*$C$5+R406*$C$6,1)</f>
        <v>6.3</v>
      </c>
      <c r="W406" s="9" t="s">
        <v>597</v>
      </c>
    </row>
    <row r="407" spans="1:23" ht="21.75" customHeight="1" x14ac:dyDescent="0.2">
      <c r="A407" s="23">
        <v>425</v>
      </c>
      <c r="B407" s="9" t="s">
        <v>416</v>
      </c>
      <c r="C407" s="9" t="s">
        <v>631</v>
      </c>
      <c r="D407" s="9" t="s">
        <v>218</v>
      </c>
      <c r="E407" s="9" t="s">
        <v>893</v>
      </c>
      <c r="F407" s="24">
        <v>3</v>
      </c>
      <c r="G407" s="24">
        <v>22</v>
      </c>
      <c r="H407" s="24">
        <v>3</v>
      </c>
      <c r="I407" s="25">
        <v>65.7</v>
      </c>
      <c r="J407" s="25">
        <v>73.7</v>
      </c>
      <c r="K407" s="26">
        <v>0.33300000000000002</v>
      </c>
      <c r="L407" s="26">
        <v>0</v>
      </c>
      <c r="M407" s="24">
        <v>17</v>
      </c>
      <c r="N407" s="31"/>
      <c r="O407" s="28" t="s">
        <v>345</v>
      </c>
      <c r="P407" s="28"/>
      <c r="Q407" s="28" t="s">
        <v>344</v>
      </c>
      <c r="R407" s="29">
        <f>LN(F407+1)/LN(MAX($F$10:$F$511)+1)*100</f>
        <v>13.975780609514226</v>
      </c>
      <c r="S407" s="29">
        <f>IF(H407=0,0,(K407*0.5+L407*0.5)*100)</f>
        <v>16.650000000000002</v>
      </c>
      <c r="T407" s="29">
        <f>IF(M407="",0,MIN(100,M407/MAX($M$10:$M$511)*100))</f>
        <v>0.22712090848363395</v>
      </c>
      <c r="U407" s="29">
        <f>MIN(100,IF(O407="Yes",50,0)+IF(N407="Yes",30,0)+IF(P407="Yes",20,0))</f>
        <v>0</v>
      </c>
      <c r="V407" s="30">
        <f>ROUND(U407*$C$3+S407*$C$4+T407*$C$5+R407*$C$6,1)</f>
        <v>6.3</v>
      </c>
      <c r="W407" s="9" t="s">
        <v>597</v>
      </c>
    </row>
    <row r="408" spans="1:23" ht="21.75" customHeight="1" x14ac:dyDescent="0.2">
      <c r="A408" s="23">
        <v>116</v>
      </c>
      <c r="B408" s="9" t="s">
        <v>185</v>
      </c>
      <c r="C408" s="9" t="s">
        <v>568</v>
      </c>
      <c r="D408" s="9" t="s">
        <v>569</v>
      </c>
      <c r="E408" s="9" t="s">
        <v>570</v>
      </c>
      <c r="F408" s="24">
        <v>57</v>
      </c>
      <c r="G408" s="24">
        <v>29</v>
      </c>
      <c r="H408" s="24">
        <v>57</v>
      </c>
      <c r="I408" s="25">
        <v>0</v>
      </c>
      <c r="J408" s="25">
        <v>1.1000000000000001</v>
      </c>
      <c r="K408" s="26">
        <v>0</v>
      </c>
      <c r="L408" s="26">
        <v>0</v>
      </c>
      <c r="M408" s="27"/>
      <c r="N408" s="31"/>
      <c r="O408" s="28" t="s">
        <v>345</v>
      </c>
      <c r="P408" s="28"/>
      <c r="Q408" s="28" t="s">
        <v>345</v>
      </c>
      <c r="R408" s="29">
        <f>LN(F408+1)/LN(MAX($F$10:$F$511)+1)*100</f>
        <v>40.934928601303383</v>
      </c>
      <c r="S408" s="29">
        <f>IF(H408=0,0,(K408*0.5+L408*0.5)*100)</f>
        <v>0</v>
      </c>
      <c r="T408" s="29">
        <f>IF(M408="",0,MIN(100,M408/MAX($M$10:$M$511)*100))</f>
        <v>0</v>
      </c>
      <c r="U408" s="29">
        <f>MIN(100,IF(O408="Yes",50,0)+IF(N408="Yes",30,0)+IF(P408="Yes",20,0))</f>
        <v>0</v>
      </c>
      <c r="V408" s="30">
        <f>ROUND(U408*$C$3+S408*$C$4+T408*$C$5+R408*$C$6,1)</f>
        <v>6.1</v>
      </c>
      <c r="W408" s="9" t="s">
        <v>355</v>
      </c>
    </row>
    <row r="409" spans="1:23" ht="15" customHeight="1" x14ac:dyDescent="0.2">
      <c r="A409" s="23">
        <v>426</v>
      </c>
      <c r="B409" s="9" t="s">
        <v>515</v>
      </c>
      <c r="C409" s="9" t="s">
        <v>894</v>
      </c>
      <c r="D409" s="9" t="s">
        <v>662</v>
      </c>
      <c r="E409" s="9" t="s">
        <v>517</v>
      </c>
      <c r="F409" s="24">
        <v>46</v>
      </c>
      <c r="G409" s="24">
        <v>23</v>
      </c>
      <c r="H409" s="24">
        <v>46</v>
      </c>
      <c r="I409" s="25">
        <v>2.2000000000000002</v>
      </c>
      <c r="J409" s="25">
        <v>9.3000000000000007</v>
      </c>
      <c r="K409" s="26">
        <v>2.1999999999999999E-2</v>
      </c>
      <c r="L409" s="26">
        <v>0</v>
      </c>
      <c r="M409" s="24">
        <v>5</v>
      </c>
      <c r="N409" s="31"/>
      <c r="O409" s="28" t="s">
        <v>345</v>
      </c>
      <c r="P409" s="28"/>
      <c r="Q409" s="28" t="s">
        <v>345</v>
      </c>
      <c r="R409" s="29">
        <f>LN(F409+1)/LN(MAX($F$10:$F$511)+1)*100</f>
        <v>38.814857583550108</v>
      </c>
      <c r="S409" s="29">
        <f>IF(H409=0,0,(K409*0.5+L409*0.5)*100)</f>
        <v>1.0999999999999999</v>
      </c>
      <c r="T409" s="29">
        <f>IF(M409="",0,MIN(100,M409/MAX($M$10:$M$511)*100))</f>
        <v>6.6800267201068811E-2</v>
      </c>
      <c r="U409" s="29">
        <f>MIN(100,IF(O409="Yes",50,0)+IF(N409="Yes",30,0)+IF(P409="Yes",20,0))</f>
        <v>0</v>
      </c>
      <c r="V409" s="30">
        <f>ROUND(U409*$C$3+S409*$C$4+T409*$C$5+R409*$C$6,1)</f>
        <v>6.1</v>
      </c>
      <c r="W409" s="9" t="s">
        <v>652</v>
      </c>
    </row>
    <row r="410" spans="1:23" ht="15" customHeight="1" x14ac:dyDescent="0.2">
      <c r="A410" s="23">
        <v>427</v>
      </c>
      <c r="B410" s="9" t="s">
        <v>384</v>
      </c>
      <c r="C410" s="9" t="s">
        <v>761</v>
      </c>
      <c r="D410" s="9" t="s">
        <v>895</v>
      </c>
      <c r="E410" s="9" t="s">
        <v>657</v>
      </c>
      <c r="F410" s="24">
        <v>28</v>
      </c>
      <c r="G410" s="24">
        <v>128</v>
      </c>
      <c r="H410" s="24">
        <v>28</v>
      </c>
      <c r="I410" s="25">
        <v>13.4</v>
      </c>
      <c r="J410" s="25">
        <v>16.600000000000001</v>
      </c>
      <c r="K410" s="26">
        <v>0</v>
      </c>
      <c r="L410" s="26">
        <v>0</v>
      </c>
      <c r="M410" s="24">
        <v>302</v>
      </c>
      <c r="N410" s="31"/>
      <c r="O410" s="28" t="s">
        <v>345</v>
      </c>
      <c r="P410" s="28"/>
      <c r="Q410" s="28" t="s">
        <v>345</v>
      </c>
      <c r="R410" s="29">
        <f>LN(F410+1)/LN(MAX($F$10:$F$511)+1)*100</f>
        <v>33.947038296546275</v>
      </c>
      <c r="S410" s="29">
        <f>IF(H410=0,0,(K410*0.5+L410*0.5)*100)</f>
        <v>0</v>
      </c>
      <c r="T410" s="29">
        <f>IF(M410="",0,MIN(100,M410/MAX($M$10:$M$511)*100))</f>
        <v>4.034736138944556</v>
      </c>
      <c r="U410" s="29">
        <f>MIN(100,IF(O410="Yes",50,0)+IF(N410="Yes",30,0)+IF(P410="Yes",20,0))</f>
        <v>0</v>
      </c>
      <c r="V410" s="30">
        <f>ROUND(U410*$C$3+S410*$C$4+T410*$C$5+R410*$C$6,1)</f>
        <v>6.1</v>
      </c>
      <c r="W410" s="9" t="s">
        <v>370</v>
      </c>
    </row>
    <row r="411" spans="1:23" ht="21.75" customHeight="1" x14ac:dyDescent="0.2">
      <c r="A411" s="23">
        <v>428</v>
      </c>
      <c r="B411" s="9" t="s">
        <v>416</v>
      </c>
      <c r="C411" s="9" t="s">
        <v>631</v>
      </c>
      <c r="D411" s="9" t="s">
        <v>896</v>
      </c>
      <c r="E411" s="9" t="s">
        <v>418</v>
      </c>
      <c r="F411" s="24">
        <v>11</v>
      </c>
      <c r="G411" s="24">
        <v>22</v>
      </c>
      <c r="H411" s="24">
        <v>11</v>
      </c>
      <c r="I411" s="25">
        <v>49.9</v>
      </c>
      <c r="J411" s="25">
        <v>63.1</v>
      </c>
      <c r="K411" s="26">
        <v>0.182</v>
      </c>
      <c r="L411" s="26">
        <v>0</v>
      </c>
      <c r="M411" s="24">
        <v>17</v>
      </c>
      <c r="N411" s="31"/>
      <c r="O411" s="28" t="s">
        <v>345</v>
      </c>
      <c r="P411" s="28"/>
      <c r="Q411" s="28" t="s">
        <v>344</v>
      </c>
      <c r="R411" s="29">
        <f>LN(F411+1)/LN(MAX($F$10:$F$511)+1)*100</f>
        <v>25.051324701707184</v>
      </c>
      <c r="S411" s="29">
        <f>IF(H411=0,0,(K411*0.5+L411*0.5)*100)</f>
        <v>9.1</v>
      </c>
      <c r="T411" s="29">
        <f>IF(M411="",0,MIN(100,M411/MAX($M$10:$M$511)*100))</f>
        <v>0.22712090848363395</v>
      </c>
      <c r="U411" s="29">
        <f>MIN(100,IF(O411="Yes",50,0)+IF(N411="Yes",30,0)+IF(P411="Yes",20,0))</f>
        <v>0</v>
      </c>
      <c r="V411" s="30">
        <f>ROUND(U411*$C$3+S411*$C$4+T411*$C$5+R411*$C$6,1)</f>
        <v>6.1</v>
      </c>
      <c r="W411" s="9" t="s">
        <v>370</v>
      </c>
    </row>
    <row r="412" spans="1:23" ht="21.75" customHeight="1" x14ac:dyDescent="0.2">
      <c r="A412" s="23">
        <v>123</v>
      </c>
      <c r="B412" s="9" t="s">
        <v>510</v>
      </c>
      <c r="C412" s="9" t="s">
        <v>579</v>
      </c>
      <c r="D412" s="9"/>
      <c r="E412" s="9" t="s">
        <v>512</v>
      </c>
      <c r="F412" s="24">
        <v>22</v>
      </c>
      <c r="G412" s="24">
        <v>20</v>
      </c>
      <c r="H412" s="24">
        <v>22</v>
      </c>
      <c r="I412" s="25">
        <v>0.2</v>
      </c>
      <c r="J412" s="25">
        <v>10.1</v>
      </c>
      <c r="K412" s="26">
        <v>4.4999999999999998E-2</v>
      </c>
      <c r="L412" s="26">
        <v>4.4999999999999998E-2</v>
      </c>
      <c r="M412" s="27"/>
      <c r="N412" s="31"/>
      <c r="O412" s="28" t="s">
        <v>345</v>
      </c>
      <c r="P412" s="28"/>
      <c r="Q412" s="28" t="s">
        <v>345</v>
      </c>
      <c r="R412" s="29">
        <f>LN(F412+1)/LN(MAX($F$10:$F$511)+1)*100</f>
        <v>31.61015473569892</v>
      </c>
      <c r="S412" s="29">
        <f>IF(H412=0,0,(K412*0.5+L412*0.5)*100)</f>
        <v>4.5</v>
      </c>
      <c r="T412" s="29">
        <f>IF(M412="",0,MIN(100,M412/MAX($M$10:$M$511)*100))</f>
        <v>0</v>
      </c>
      <c r="U412" s="29">
        <f>MIN(100,IF(O412="Yes",50,0)+IF(N412="Yes",30,0)+IF(P412="Yes",20,0))</f>
        <v>0</v>
      </c>
      <c r="V412" s="30">
        <f>ROUND(U412*$C$3+S412*$C$4+T412*$C$5+R412*$C$6,1)</f>
        <v>5.9</v>
      </c>
      <c r="W412" s="9" t="s">
        <v>518</v>
      </c>
    </row>
    <row r="413" spans="1:23" ht="32.25" customHeight="1" x14ac:dyDescent="0.2">
      <c r="A413" s="23">
        <v>124</v>
      </c>
      <c r="B413" s="9" t="s">
        <v>476</v>
      </c>
      <c r="C413" s="9" t="s">
        <v>580</v>
      </c>
      <c r="D413" s="9" t="s">
        <v>540</v>
      </c>
      <c r="E413" s="9" t="s">
        <v>581</v>
      </c>
      <c r="F413" s="24">
        <v>38</v>
      </c>
      <c r="G413" s="24">
        <v>21</v>
      </c>
      <c r="H413" s="24">
        <v>38</v>
      </c>
      <c r="I413" s="25">
        <v>2.1</v>
      </c>
      <c r="J413" s="25">
        <v>8.3000000000000007</v>
      </c>
      <c r="K413" s="26">
        <v>2.5999999999999999E-2</v>
      </c>
      <c r="L413" s="26">
        <v>0</v>
      </c>
      <c r="M413" s="27"/>
      <c r="N413" s="31"/>
      <c r="O413" s="28" t="s">
        <v>345</v>
      </c>
      <c r="P413" s="28"/>
      <c r="Q413" s="28" t="s">
        <v>345</v>
      </c>
      <c r="R413" s="29">
        <f>LN(F413+1)/LN(MAX($F$10:$F$511)+1)*100</f>
        <v>36.933810921929236</v>
      </c>
      <c r="S413" s="29">
        <f>IF(H413=0,0,(K413*0.5+L413*0.5)*100)</f>
        <v>1.3</v>
      </c>
      <c r="T413" s="29">
        <f>IF(M413="",0,MIN(100,M413/MAX($M$10:$M$511)*100))</f>
        <v>0</v>
      </c>
      <c r="U413" s="29">
        <f>MIN(100,IF(O413="Yes",50,0)+IF(N413="Yes",30,0)+IF(P413="Yes",20,0))</f>
        <v>0</v>
      </c>
      <c r="V413" s="30">
        <f>ROUND(U413*$C$3+S413*$C$4+T413*$C$5+R413*$C$6,1)</f>
        <v>5.9</v>
      </c>
      <c r="W413" s="9" t="s">
        <v>355</v>
      </c>
    </row>
    <row r="414" spans="1:23" ht="32.25" customHeight="1" x14ac:dyDescent="0.2">
      <c r="A414" s="23">
        <v>429</v>
      </c>
      <c r="B414" s="9" t="s">
        <v>366</v>
      </c>
      <c r="C414" s="9" t="s">
        <v>897</v>
      </c>
      <c r="D414" s="9" t="s">
        <v>755</v>
      </c>
      <c r="E414" s="9" t="s">
        <v>369</v>
      </c>
      <c r="F414" s="24">
        <v>24</v>
      </c>
      <c r="G414" s="24">
        <v>35</v>
      </c>
      <c r="H414" s="24">
        <v>24</v>
      </c>
      <c r="I414" s="25">
        <v>19.399999999999999</v>
      </c>
      <c r="J414" s="25">
        <v>31</v>
      </c>
      <c r="K414" s="26">
        <v>4.2000000000000003E-2</v>
      </c>
      <c r="L414" s="26">
        <v>4.2000000000000003E-2</v>
      </c>
      <c r="M414" s="24">
        <v>9</v>
      </c>
      <c r="N414" s="31"/>
      <c r="O414" s="28" t="s">
        <v>345</v>
      </c>
      <c r="P414" s="28"/>
      <c r="Q414" s="28" t="s">
        <v>345</v>
      </c>
      <c r="R414" s="29">
        <f>LN(F414+1)/LN(MAX($F$10:$F$511)+1)*100</f>
        <v>32.450757645213102</v>
      </c>
      <c r="S414" s="29">
        <f>IF(H414=0,0,(K414*0.5+L414*0.5)*100)</f>
        <v>4.2</v>
      </c>
      <c r="T414" s="29">
        <f>IF(M414="",0,MIN(100,M414/MAX($M$10:$M$511)*100))</f>
        <v>0.12024048096192384</v>
      </c>
      <c r="U414" s="29">
        <f>MIN(100,IF(O414="Yes",50,0)+IF(N414="Yes",30,0)+IF(P414="Yes",20,0))</f>
        <v>0</v>
      </c>
      <c r="V414" s="30">
        <f>ROUND(U414*$C$3+S414*$C$4+T414*$C$5+R414*$C$6,1)</f>
        <v>5.9</v>
      </c>
      <c r="W414" s="9" t="s">
        <v>652</v>
      </c>
    </row>
    <row r="415" spans="1:23" ht="32.25" customHeight="1" x14ac:dyDescent="0.2">
      <c r="A415" s="23">
        <v>430</v>
      </c>
      <c r="B415" s="9" t="s">
        <v>476</v>
      </c>
      <c r="C415" s="9" t="s">
        <v>898</v>
      </c>
      <c r="D415" s="9" t="s">
        <v>478</v>
      </c>
      <c r="E415" s="9" t="s">
        <v>544</v>
      </c>
      <c r="F415" s="24">
        <v>19</v>
      </c>
      <c r="G415" s="24">
        <v>11</v>
      </c>
      <c r="H415" s="24">
        <v>19</v>
      </c>
      <c r="I415" s="25">
        <v>1.6</v>
      </c>
      <c r="J415" s="25">
        <v>45.9</v>
      </c>
      <c r="K415" s="26">
        <v>5.2999999999999999E-2</v>
      </c>
      <c r="L415" s="26">
        <v>5.2999999999999999E-2</v>
      </c>
      <c r="M415" s="24">
        <v>15</v>
      </c>
      <c r="N415" s="31"/>
      <c r="O415" s="28" t="s">
        <v>345</v>
      </c>
      <c r="P415" s="28"/>
      <c r="Q415" s="28" t="s">
        <v>345</v>
      </c>
      <c r="R415" s="29">
        <f>LN(F415+1)/LN(MAX($F$10:$F$511)+1)*100</f>
        <v>30.201159432120779</v>
      </c>
      <c r="S415" s="29">
        <f>IF(H415=0,0,(K415*0.5+L415*0.5)*100)</f>
        <v>5.3</v>
      </c>
      <c r="T415" s="29">
        <f>IF(M415="",0,MIN(100,M415/MAX($M$10:$M$511)*100))</f>
        <v>0.20040080160320639</v>
      </c>
      <c r="U415" s="29">
        <f>MIN(100,IF(O415="Yes",50,0)+IF(N415="Yes",30,0)+IF(P415="Yes",20,0))</f>
        <v>0</v>
      </c>
      <c r="V415" s="30">
        <f>ROUND(U415*$C$3+S415*$C$4+T415*$C$5+R415*$C$6,1)</f>
        <v>5.9</v>
      </c>
      <c r="W415" s="9" t="s">
        <v>652</v>
      </c>
    </row>
    <row r="416" spans="1:23" ht="32.25" customHeight="1" x14ac:dyDescent="0.2">
      <c r="A416" s="23">
        <v>431</v>
      </c>
      <c r="B416" s="9" t="s">
        <v>384</v>
      </c>
      <c r="C416" s="9" t="s">
        <v>761</v>
      </c>
      <c r="D416" s="9" t="s">
        <v>862</v>
      </c>
      <c r="E416" s="9" t="s">
        <v>657</v>
      </c>
      <c r="F416" s="24">
        <v>20</v>
      </c>
      <c r="G416" s="24">
        <v>128</v>
      </c>
      <c r="H416" s="24">
        <v>20</v>
      </c>
      <c r="I416" s="25">
        <v>19.8</v>
      </c>
      <c r="J416" s="25">
        <v>17.899999999999999</v>
      </c>
      <c r="K416" s="26">
        <v>0</v>
      </c>
      <c r="L416" s="26">
        <v>0</v>
      </c>
      <c r="M416" s="24">
        <v>302</v>
      </c>
      <c r="N416" s="31"/>
      <c r="O416" s="28" t="s">
        <v>345</v>
      </c>
      <c r="P416" s="28"/>
      <c r="Q416" s="28" t="s">
        <v>345</v>
      </c>
      <c r="R416" s="29">
        <f>LN(F416+1)/LN(MAX($F$10:$F$511)+1)*100</f>
        <v>30.693032334051452</v>
      </c>
      <c r="S416" s="29">
        <f>IF(H416=0,0,(K416*0.5+L416*0.5)*100)</f>
        <v>0</v>
      </c>
      <c r="T416" s="29">
        <f>IF(M416="",0,MIN(100,M416/MAX($M$10:$M$511)*100))</f>
        <v>4.034736138944556</v>
      </c>
      <c r="U416" s="29">
        <f>MIN(100,IF(O416="Yes",50,0)+IF(N416="Yes",30,0)+IF(P416="Yes",20,0))</f>
        <v>0</v>
      </c>
      <c r="V416" s="30">
        <f>ROUND(U416*$C$3+S416*$C$4+T416*$C$5+R416*$C$6,1)</f>
        <v>5.6</v>
      </c>
      <c r="W416" s="9" t="s">
        <v>370</v>
      </c>
    </row>
    <row r="417" spans="1:23" ht="21.75" customHeight="1" x14ac:dyDescent="0.2">
      <c r="A417" s="23">
        <v>432</v>
      </c>
      <c r="B417" s="9" t="s">
        <v>384</v>
      </c>
      <c r="C417" s="9" t="s">
        <v>655</v>
      </c>
      <c r="D417" s="9" t="s">
        <v>895</v>
      </c>
      <c r="E417" s="9" t="s">
        <v>657</v>
      </c>
      <c r="F417" s="24">
        <v>18</v>
      </c>
      <c r="G417" s="24">
        <v>67</v>
      </c>
      <c r="H417" s="24">
        <v>18</v>
      </c>
      <c r="I417" s="25">
        <v>9.6</v>
      </c>
      <c r="J417" s="25">
        <v>20.100000000000001</v>
      </c>
      <c r="K417" s="26">
        <v>5.6000000000000001E-2</v>
      </c>
      <c r="L417" s="26">
        <v>0</v>
      </c>
      <c r="M417" s="24">
        <v>108</v>
      </c>
      <c r="N417" s="31"/>
      <c r="O417" s="28" t="s">
        <v>345</v>
      </c>
      <c r="P417" s="28"/>
      <c r="Q417" s="28" t="s">
        <v>345</v>
      </c>
      <c r="R417" s="29">
        <f>LN(F417+1)/LN(MAX($F$10:$F$511)+1)*100</f>
        <v>29.684051486503421</v>
      </c>
      <c r="S417" s="29">
        <f>IF(H417=0,0,(K417*0.5+L417*0.5)*100)</f>
        <v>2.8000000000000003</v>
      </c>
      <c r="T417" s="29">
        <f>IF(M417="",0,MIN(100,M417/MAX($M$10:$M$511)*100))</f>
        <v>1.4428857715430863</v>
      </c>
      <c r="U417" s="29">
        <f>MIN(100,IF(O417="Yes",50,0)+IF(N417="Yes",30,0)+IF(P417="Yes",20,0))</f>
        <v>0</v>
      </c>
      <c r="V417" s="30">
        <f>ROUND(U417*$C$3+S417*$C$4+T417*$C$5+R417*$C$6,1)</f>
        <v>5.5</v>
      </c>
      <c r="W417" s="9" t="s">
        <v>370</v>
      </c>
    </row>
    <row r="418" spans="1:23" ht="21.75" customHeight="1" x14ac:dyDescent="0.2">
      <c r="A418" s="23">
        <v>433</v>
      </c>
      <c r="B418" s="9" t="s">
        <v>384</v>
      </c>
      <c r="C418" s="9" t="s">
        <v>899</v>
      </c>
      <c r="D418" s="9"/>
      <c r="E418" s="9" t="s">
        <v>586</v>
      </c>
      <c r="F418" s="24">
        <v>30</v>
      </c>
      <c r="G418" s="27"/>
      <c r="H418" s="24">
        <v>30</v>
      </c>
      <c r="I418" s="25">
        <v>0</v>
      </c>
      <c r="J418" s="25">
        <v>0</v>
      </c>
      <c r="K418" s="26">
        <v>0</v>
      </c>
      <c r="L418" s="26">
        <v>0</v>
      </c>
      <c r="M418" s="24">
        <v>8</v>
      </c>
      <c r="N418" s="31"/>
      <c r="O418" s="28" t="s">
        <v>345</v>
      </c>
      <c r="P418" s="28"/>
      <c r="Q418" s="28" t="s">
        <v>345</v>
      </c>
      <c r="R418" s="29">
        <f>LN(F418+1)/LN(MAX($F$10:$F$511)+1)*100</f>
        <v>34.61938036521591</v>
      </c>
      <c r="S418" s="29">
        <f>IF(H418=0,0,(K418*0.5+L418*0.5)*100)</f>
        <v>0</v>
      </c>
      <c r="T418" s="29">
        <f>IF(M418="",0,MIN(100,M418/MAX($M$10:$M$511)*100))</f>
        <v>0.10688042752171009</v>
      </c>
      <c r="U418" s="29">
        <f>MIN(100,IF(O418="Yes",50,0)+IF(N418="Yes",30,0)+IF(P418="Yes",20,0))</f>
        <v>0</v>
      </c>
      <c r="V418" s="30">
        <f>ROUND(U418*$C$3+S418*$C$4+T418*$C$5+R418*$C$6,1)</f>
        <v>5.2</v>
      </c>
      <c r="W418" s="9" t="s">
        <v>900</v>
      </c>
    </row>
    <row r="419" spans="1:23" ht="21.75" customHeight="1" x14ac:dyDescent="0.2">
      <c r="A419" s="23">
        <v>434</v>
      </c>
      <c r="B419" s="9" t="s">
        <v>366</v>
      </c>
      <c r="C419" s="9" t="s">
        <v>790</v>
      </c>
      <c r="D419" s="9" t="s">
        <v>901</v>
      </c>
      <c r="E419" s="9" t="s">
        <v>550</v>
      </c>
      <c r="F419" s="24">
        <v>14</v>
      </c>
      <c r="G419" s="24">
        <v>69</v>
      </c>
      <c r="H419" s="24">
        <v>14</v>
      </c>
      <c r="I419" s="25">
        <v>14.8</v>
      </c>
      <c r="J419" s="25">
        <v>22.4</v>
      </c>
      <c r="K419" s="26">
        <v>7.0999999999999994E-2</v>
      </c>
      <c r="L419" s="26">
        <v>0</v>
      </c>
      <c r="M419" s="24">
        <v>57</v>
      </c>
      <c r="N419" s="31"/>
      <c r="O419" s="28" t="s">
        <v>345</v>
      </c>
      <c r="P419" s="28"/>
      <c r="Q419" s="28" t="s">
        <v>345</v>
      </c>
      <c r="R419" s="29">
        <f>LN(F419+1)/LN(MAX($F$10:$F$511)+1)*100</f>
        <v>27.300922914799507</v>
      </c>
      <c r="S419" s="29">
        <f>IF(H419=0,0,(K419*0.5+L419*0.5)*100)</f>
        <v>3.55</v>
      </c>
      <c r="T419" s="29">
        <f>IF(M419="",0,MIN(100,M419/MAX($M$10:$M$511)*100))</f>
        <v>0.76152304609218435</v>
      </c>
      <c r="U419" s="29">
        <f>MIN(100,IF(O419="Yes",50,0)+IF(N419="Yes",30,0)+IF(P419="Yes",20,0))</f>
        <v>0</v>
      </c>
      <c r="V419" s="30">
        <f>ROUND(U419*$C$3+S419*$C$4+T419*$C$5+R419*$C$6,1)</f>
        <v>5.2</v>
      </c>
      <c r="W419" s="9" t="s">
        <v>370</v>
      </c>
    </row>
    <row r="420" spans="1:23" ht="15" customHeight="1" x14ac:dyDescent="0.2">
      <c r="A420" s="23">
        <v>128</v>
      </c>
      <c r="B420" s="9" t="s">
        <v>384</v>
      </c>
      <c r="C420" s="9" t="s">
        <v>585</v>
      </c>
      <c r="D420" s="9"/>
      <c r="E420" s="9" t="s">
        <v>586</v>
      </c>
      <c r="F420" s="24">
        <v>28</v>
      </c>
      <c r="G420" s="24">
        <v>5</v>
      </c>
      <c r="H420" s="24">
        <v>28</v>
      </c>
      <c r="I420" s="25">
        <v>0</v>
      </c>
      <c r="J420" s="25">
        <v>1</v>
      </c>
      <c r="K420" s="26">
        <v>0</v>
      </c>
      <c r="L420" s="26">
        <v>0</v>
      </c>
      <c r="M420" s="27"/>
      <c r="N420" s="31"/>
      <c r="O420" s="28" t="s">
        <v>345</v>
      </c>
      <c r="P420" s="28"/>
      <c r="Q420" s="28" t="s">
        <v>345</v>
      </c>
      <c r="R420" s="29">
        <f>LN(F420+1)/LN(MAX($F$10:$F$511)+1)*100</f>
        <v>33.947038296546275</v>
      </c>
      <c r="S420" s="29">
        <f>IF(H420=0,0,(K420*0.5+L420*0.5)*100)</f>
        <v>0</v>
      </c>
      <c r="T420" s="29">
        <f>IF(M420="",0,MIN(100,M420/MAX($M$10:$M$511)*100))</f>
        <v>0</v>
      </c>
      <c r="U420" s="29">
        <f>MIN(100,IF(O420="Yes",50,0)+IF(N420="Yes",30,0)+IF(P420="Yes",20,0))</f>
        <v>0</v>
      </c>
      <c r="V420" s="30">
        <f>ROUND(U420*$C$3+S420*$C$4+T420*$C$5+R420*$C$6,1)</f>
        <v>5.0999999999999996</v>
      </c>
      <c r="W420" s="9" t="s">
        <v>518</v>
      </c>
    </row>
    <row r="421" spans="1:23" ht="21.75" customHeight="1" x14ac:dyDescent="0.2">
      <c r="A421" s="23">
        <v>129</v>
      </c>
      <c r="B421" s="9" t="s">
        <v>280</v>
      </c>
      <c r="C421" s="9" t="s">
        <v>502</v>
      </c>
      <c r="D421" s="9" t="s">
        <v>587</v>
      </c>
      <c r="E421" s="9" t="s">
        <v>503</v>
      </c>
      <c r="F421" s="24">
        <v>13</v>
      </c>
      <c r="G421" s="24">
        <v>12</v>
      </c>
      <c r="H421" s="24">
        <v>13</v>
      </c>
      <c r="I421" s="25">
        <v>12.9</v>
      </c>
      <c r="J421" s="25">
        <v>21.8</v>
      </c>
      <c r="K421" s="26">
        <v>7.6999999999999999E-2</v>
      </c>
      <c r="L421" s="26">
        <v>0</v>
      </c>
      <c r="M421" s="27"/>
      <c r="N421" s="31"/>
      <c r="O421" s="28" t="s">
        <v>345</v>
      </c>
      <c r="P421" s="28"/>
      <c r="Q421" s="28" t="s">
        <v>345</v>
      </c>
      <c r="R421" s="29">
        <f>LN(F421+1)/LN(MAX($F$10:$F$511)+1)*100</f>
        <v>26.605378546615604</v>
      </c>
      <c r="S421" s="29">
        <f>IF(H421=0,0,(K421*0.5+L421*0.5)*100)</f>
        <v>3.85</v>
      </c>
      <c r="T421" s="29">
        <f>IF(M421="",0,MIN(100,M421/MAX($M$10:$M$511)*100))</f>
        <v>0</v>
      </c>
      <c r="U421" s="29">
        <f>MIN(100,IF(O421="Yes",50,0)+IF(N421="Yes",30,0)+IF(P421="Yes",20,0))</f>
        <v>0</v>
      </c>
      <c r="V421" s="30">
        <f>ROUND(U421*$C$3+S421*$C$4+T421*$C$5+R421*$C$6,1)</f>
        <v>5</v>
      </c>
      <c r="W421" s="9" t="s">
        <v>355</v>
      </c>
    </row>
    <row r="422" spans="1:23" ht="21.75" customHeight="1" x14ac:dyDescent="0.2">
      <c r="A422" s="23">
        <v>435</v>
      </c>
      <c r="B422" s="9" t="s">
        <v>384</v>
      </c>
      <c r="C422" s="9" t="s">
        <v>774</v>
      </c>
      <c r="D422" s="9" t="s">
        <v>902</v>
      </c>
      <c r="E422" s="9" t="s">
        <v>657</v>
      </c>
      <c r="F422" s="24">
        <v>6</v>
      </c>
      <c r="G422" s="24">
        <v>44</v>
      </c>
      <c r="H422" s="24">
        <v>6</v>
      </c>
      <c r="I422" s="25">
        <v>14</v>
      </c>
      <c r="J422" s="25">
        <v>29.4</v>
      </c>
      <c r="K422" s="26">
        <v>0.16700000000000001</v>
      </c>
      <c r="L422" s="26">
        <v>0</v>
      </c>
      <c r="M422" s="24">
        <v>5</v>
      </c>
      <c r="N422" s="31"/>
      <c r="O422" s="28" t="s">
        <v>345</v>
      </c>
      <c r="P422" s="28"/>
      <c r="Q422" s="28" t="s">
        <v>345</v>
      </c>
      <c r="R422" s="29">
        <f>LN(F422+1)/LN(MAX($F$10:$F$511)+1)*100</f>
        <v>19.617488241858492</v>
      </c>
      <c r="S422" s="29">
        <f>IF(H422=0,0,(K422*0.5+L422*0.5)*100)</f>
        <v>8.35</v>
      </c>
      <c r="T422" s="29">
        <f>IF(M422="",0,MIN(100,M422/MAX($M$10:$M$511)*100))</f>
        <v>6.6800267201068811E-2</v>
      </c>
      <c r="U422" s="29">
        <f>MIN(100,IF(O422="Yes",50,0)+IF(N422="Yes",30,0)+IF(P422="Yes",20,0))</f>
        <v>0</v>
      </c>
      <c r="V422" s="30">
        <f>ROUND(U422*$C$3+S422*$C$4+T422*$C$5+R422*$C$6,1)</f>
        <v>5</v>
      </c>
      <c r="W422" s="9" t="s">
        <v>738</v>
      </c>
    </row>
    <row r="423" spans="1:23" ht="32.25" customHeight="1" x14ac:dyDescent="0.2">
      <c r="A423" s="23">
        <v>436</v>
      </c>
      <c r="B423" s="9" t="s">
        <v>280</v>
      </c>
      <c r="C423" s="9" t="s">
        <v>492</v>
      </c>
      <c r="D423" s="9" t="s">
        <v>587</v>
      </c>
      <c r="E423" s="9" t="s">
        <v>503</v>
      </c>
      <c r="F423" s="24">
        <v>9</v>
      </c>
      <c r="G423" s="24">
        <v>37</v>
      </c>
      <c r="H423" s="24">
        <v>9</v>
      </c>
      <c r="I423" s="25">
        <v>35.299999999999997</v>
      </c>
      <c r="J423" s="25">
        <v>47.8</v>
      </c>
      <c r="K423" s="26">
        <v>0.111</v>
      </c>
      <c r="L423" s="26">
        <v>0</v>
      </c>
      <c r="M423" s="24">
        <v>17</v>
      </c>
      <c r="N423" s="31"/>
      <c r="O423" s="28" t="s">
        <v>345</v>
      </c>
      <c r="P423" s="28"/>
      <c r="Q423" s="28" t="s">
        <v>345</v>
      </c>
      <c r="R423" s="29">
        <f>LN(F423+1)/LN(MAX($F$10:$F$511)+1)*100</f>
        <v>23.213269127363667</v>
      </c>
      <c r="S423" s="29">
        <f>IF(H423=0,0,(K423*0.5+L423*0.5)*100)</f>
        <v>5.55</v>
      </c>
      <c r="T423" s="29">
        <f>IF(M423="",0,MIN(100,M423/MAX($M$10:$M$511)*100))</f>
        <v>0.22712090848363395</v>
      </c>
      <c r="U423" s="29">
        <f>MIN(100,IF(O423="Yes",50,0)+IF(N423="Yes",30,0)+IF(P423="Yes",20,0))</f>
        <v>0</v>
      </c>
      <c r="V423" s="30">
        <f>ROUND(U423*$C$3+S423*$C$4+T423*$C$5+R423*$C$6,1)</f>
        <v>4.9000000000000004</v>
      </c>
      <c r="W423" s="9" t="s">
        <v>597</v>
      </c>
    </row>
    <row r="424" spans="1:23" ht="32.25" customHeight="1" x14ac:dyDescent="0.2">
      <c r="A424" s="23">
        <v>437</v>
      </c>
      <c r="B424" s="9" t="s">
        <v>384</v>
      </c>
      <c r="C424" s="9" t="s">
        <v>774</v>
      </c>
      <c r="D424" s="9" t="s">
        <v>903</v>
      </c>
      <c r="E424" s="9" t="s">
        <v>657</v>
      </c>
      <c r="F424" s="24">
        <v>8</v>
      </c>
      <c r="G424" s="24">
        <v>44</v>
      </c>
      <c r="H424" s="24">
        <v>8</v>
      </c>
      <c r="I424" s="25">
        <v>18</v>
      </c>
      <c r="J424" s="25">
        <v>35.299999999999997</v>
      </c>
      <c r="K424" s="26">
        <v>0.125</v>
      </c>
      <c r="L424" s="26">
        <v>0</v>
      </c>
      <c r="M424" s="24">
        <v>5</v>
      </c>
      <c r="N424" s="31"/>
      <c r="O424" s="28" t="s">
        <v>345</v>
      </c>
      <c r="P424" s="28"/>
      <c r="Q424" s="28" t="s">
        <v>345</v>
      </c>
      <c r="R424" s="29">
        <f>LN(F424+1)/LN(MAX($F$10:$F$511)+1)*100</f>
        <v>22.151088184385912</v>
      </c>
      <c r="S424" s="29">
        <f>IF(H424=0,0,(K424*0.5+L424*0.5)*100)</f>
        <v>6.25</v>
      </c>
      <c r="T424" s="29">
        <f>IF(M424="",0,MIN(100,M424/MAX($M$10:$M$511)*100))</f>
        <v>6.6800267201068811E-2</v>
      </c>
      <c r="U424" s="29">
        <f>MIN(100,IF(O424="Yes",50,0)+IF(N424="Yes",30,0)+IF(P424="Yes",20,0))</f>
        <v>0</v>
      </c>
      <c r="V424" s="30">
        <f>ROUND(U424*$C$3+S424*$C$4+T424*$C$5+R424*$C$6,1)</f>
        <v>4.9000000000000004</v>
      </c>
      <c r="W424" s="9" t="s">
        <v>738</v>
      </c>
    </row>
    <row r="425" spans="1:23" ht="21.75" customHeight="1" x14ac:dyDescent="0.2">
      <c r="A425" s="23">
        <v>438</v>
      </c>
      <c r="B425" s="9" t="s">
        <v>366</v>
      </c>
      <c r="C425" s="9" t="s">
        <v>904</v>
      </c>
      <c r="D425" s="9" t="s">
        <v>905</v>
      </c>
      <c r="E425" s="9" t="s">
        <v>369</v>
      </c>
      <c r="F425" s="24">
        <v>9</v>
      </c>
      <c r="G425" s="24">
        <v>12</v>
      </c>
      <c r="H425" s="24">
        <v>9</v>
      </c>
      <c r="I425" s="25">
        <v>22.4</v>
      </c>
      <c r="J425" s="25">
        <v>34.700000000000003</v>
      </c>
      <c r="K425" s="26">
        <v>0.111</v>
      </c>
      <c r="L425" s="26">
        <v>0</v>
      </c>
      <c r="M425" s="24">
        <v>9</v>
      </c>
      <c r="N425" s="31"/>
      <c r="O425" s="28" t="s">
        <v>345</v>
      </c>
      <c r="P425" s="28"/>
      <c r="Q425" s="28" t="s">
        <v>345</v>
      </c>
      <c r="R425" s="29">
        <f>LN(F425+1)/LN(MAX($F$10:$F$511)+1)*100</f>
        <v>23.213269127363667</v>
      </c>
      <c r="S425" s="29">
        <f>IF(H425=0,0,(K425*0.5+L425*0.5)*100)</f>
        <v>5.55</v>
      </c>
      <c r="T425" s="29">
        <f>IF(M425="",0,MIN(100,M425/MAX($M$10:$M$511)*100))</f>
        <v>0.12024048096192384</v>
      </c>
      <c r="U425" s="29">
        <f>MIN(100,IF(O425="Yes",50,0)+IF(N425="Yes",30,0)+IF(P425="Yes",20,0))</f>
        <v>0</v>
      </c>
      <c r="V425" s="30">
        <f>ROUND(U425*$C$3+S425*$C$4+T425*$C$5+R425*$C$6,1)</f>
        <v>4.9000000000000004</v>
      </c>
      <c r="W425" s="9" t="s">
        <v>738</v>
      </c>
    </row>
    <row r="426" spans="1:23" ht="32.25" customHeight="1" x14ac:dyDescent="0.2">
      <c r="A426" s="23">
        <v>130</v>
      </c>
      <c r="B426" s="9" t="s">
        <v>351</v>
      </c>
      <c r="C426" s="9" t="s">
        <v>588</v>
      </c>
      <c r="D426" s="9" t="s">
        <v>589</v>
      </c>
      <c r="E426" s="9" t="s">
        <v>354</v>
      </c>
      <c r="F426" s="24">
        <v>21</v>
      </c>
      <c r="G426" s="24">
        <v>7</v>
      </c>
      <c r="H426" s="24">
        <v>0</v>
      </c>
      <c r="I426" s="25"/>
      <c r="J426" s="25"/>
      <c r="K426" s="26"/>
      <c r="L426" s="26"/>
      <c r="M426" s="27"/>
      <c r="N426" s="31"/>
      <c r="O426" s="28" t="s">
        <v>345</v>
      </c>
      <c r="P426" s="28"/>
      <c r="Q426" s="28" t="s">
        <v>345</v>
      </c>
      <c r="R426" s="29">
        <f>LN(F426+1)/LN(MAX($F$10:$F$511)+1)*100</f>
        <v>31.16201897260289</v>
      </c>
      <c r="S426" s="29">
        <f>IF(H426=0,0,(K426*0.5+L426*0.5)*100)</f>
        <v>0</v>
      </c>
      <c r="T426" s="29">
        <f>IF(M426="",0,MIN(100,M426/MAX($M$10:$M$511)*100))</f>
        <v>0</v>
      </c>
      <c r="U426" s="29">
        <f>MIN(100,IF(O426="Yes",50,0)+IF(N426="Yes",30,0)+IF(P426="Yes",20,0))</f>
        <v>0</v>
      </c>
      <c r="V426" s="30">
        <f>ROUND(U426*$C$3+S426*$C$4+T426*$C$5+R426*$C$6,1)</f>
        <v>4.7</v>
      </c>
      <c r="W426" s="9" t="s">
        <v>590</v>
      </c>
    </row>
    <row r="427" spans="1:23" ht="21.75" customHeight="1" x14ac:dyDescent="0.2">
      <c r="A427" s="23">
        <v>439</v>
      </c>
      <c r="B427" s="9" t="s">
        <v>384</v>
      </c>
      <c r="C427" s="9" t="s">
        <v>774</v>
      </c>
      <c r="D427" s="9" t="s">
        <v>821</v>
      </c>
      <c r="E427" s="9" t="s">
        <v>657</v>
      </c>
      <c r="F427" s="24">
        <v>21</v>
      </c>
      <c r="G427" s="24">
        <v>44</v>
      </c>
      <c r="H427" s="24">
        <v>21</v>
      </c>
      <c r="I427" s="25">
        <v>11</v>
      </c>
      <c r="J427" s="25">
        <v>21.6</v>
      </c>
      <c r="K427" s="26">
        <v>0</v>
      </c>
      <c r="L427" s="26">
        <v>0</v>
      </c>
      <c r="M427" s="24">
        <v>5</v>
      </c>
      <c r="N427" s="31"/>
      <c r="O427" s="28" t="s">
        <v>345</v>
      </c>
      <c r="P427" s="28"/>
      <c r="Q427" s="28" t="s">
        <v>345</v>
      </c>
      <c r="R427" s="29">
        <f>LN(F427+1)/LN(MAX($F$10:$F$511)+1)*100</f>
        <v>31.16201897260289</v>
      </c>
      <c r="S427" s="29">
        <f>IF(H427=0,0,(K427*0.5+L427*0.5)*100)</f>
        <v>0</v>
      </c>
      <c r="T427" s="29">
        <f>IF(M427="",0,MIN(100,M427/MAX($M$10:$M$511)*100))</f>
        <v>6.6800267201068811E-2</v>
      </c>
      <c r="U427" s="29">
        <f>MIN(100,IF(O427="Yes",50,0)+IF(N427="Yes",30,0)+IF(P427="Yes",20,0))</f>
        <v>0</v>
      </c>
      <c r="V427" s="30">
        <f>ROUND(U427*$C$3+S427*$C$4+T427*$C$5+R427*$C$6,1)</f>
        <v>4.7</v>
      </c>
      <c r="W427" s="9" t="s">
        <v>652</v>
      </c>
    </row>
    <row r="428" spans="1:23" ht="21.75" customHeight="1" x14ac:dyDescent="0.2">
      <c r="A428" s="23">
        <v>440</v>
      </c>
      <c r="B428" s="9" t="s">
        <v>416</v>
      </c>
      <c r="C428" s="9" t="s">
        <v>906</v>
      </c>
      <c r="D428" s="9" t="s">
        <v>195</v>
      </c>
      <c r="E428" s="9" t="s">
        <v>907</v>
      </c>
      <c r="F428" s="24">
        <v>20</v>
      </c>
      <c r="G428" s="24">
        <v>18</v>
      </c>
      <c r="H428" s="24">
        <v>20</v>
      </c>
      <c r="I428" s="25">
        <v>0.5</v>
      </c>
      <c r="J428" s="25">
        <v>0.8</v>
      </c>
      <c r="K428" s="26">
        <v>0</v>
      </c>
      <c r="L428" s="26">
        <v>0</v>
      </c>
      <c r="M428" s="24">
        <v>4</v>
      </c>
      <c r="N428" s="31"/>
      <c r="O428" s="28" t="s">
        <v>345</v>
      </c>
      <c r="P428" s="28"/>
      <c r="Q428" s="28" t="s">
        <v>345</v>
      </c>
      <c r="R428" s="29">
        <f>LN(F428+1)/LN(MAX($F$10:$F$511)+1)*100</f>
        <v>30.693032334051452</v>
      </c>
      <c r="S428" s="29">
        <f>IF(H428=0,0,(K428*0.5+L428*0.5)*100)</f>
        <v>0</v>
      </c>
      <c r="T428" s="29">
        <f>IF(M428="",0,MIN(100,M428/MAX($M$10:$M$511)*100))</f>
        <v>5.3440213760855046E-2</v>
      </c>
      <c r="U428" s="29">
        <f>MIN(100,IF(O428="Yes",50,0)+IF(N428="Yes",30,0)+IF(P428="Yes",20,0))</f>
        <v>0</v>
      </c>
      <c r="V428" s="30">
        <f>ROUND(U428*$C$3+S428*$C$4+T428*$C$5+R428*$C$6,1)</f>
        <v>4.5999999999999996</v>
      </c>
      <c r="W428" s="9" t="s">
        <v>652</v>
      </c>
    </row>
    <row r="429" spans="1:23" ht="32.25" customHeight="1" x14ac:dyDescent="0.2">
      <c r="A429" s="23">
        <v>134</v>
      </c>
      <c r="B429" s="9" t="s">
        <v>476</v>
      </c>
      <c r="C429" s="9" t="s">
        <v>543</v>
      </c>
      <c r="D429" s="9" t="s">
        <v>478</v>
      </c>
      <c r="E429" s="9" t="s">
        <v>544</v>
      </c>
      <c r="F429" s="24">
        <v>18</v>
      </c>
      <c r="G429" s="24">
        <v>57</v>
      </c>
      <c r="H429" s="24">
        <v>18</v>
      </c>
      <c r="I429" s="25">
        <v>1.1000000000000001</v>
      </c>
      <c r="J429" s="25">
        <v>1.6</v>
      </c>
      <c r="K429" s="26">
        <v>0</v>
      </c>
      <c r="L429" s="26">
        <v>0</v>
      </c>
      <c r="M429" s="27"/>
      <c r="N429" s="31"/>
      <c r="O429" s="28" t="s">
        <v>345</v>
      </c>
      <c r="P429" s="28"/>
      <c r="Q429" s="28" t="s">
        <v>345</v>
      </c>
      <c r="R429" s="29">
        <f>LN(F429+1)/LN(MAX($F$10:$F$511)+1)*100</f>
        <v>29.684051486503421</v>
      </c>
      <c r="S429" s="29">
        <f>IF(H429=0,0,(K429*0.5+L429*0.5)*100)</f>
        <v>0</v>
      </c>
      <c r="T429" s="29">
        <f>IF(M429="",0,MIN(100,M429/MAX($M$10:$M$511)*100))</f>
        <v>0</v>
      </c>
      <c r="U429" s="29">
        <f>MIN(100,IF(O429="Yes",50,0)+IF(N429="Yes",30,0)+IF(P429="Yes",20,0))</f>
        <v>0</v>
      </c>
      <c r="V429" s="30">
        <f>ROUND(U429*$C$3+S429*$C$4+T429*$C$5+R429*$C$6,1)</f>
        <v>4.5</v>
      </c>
      <c r="W429" s="9" t="s">
        <v>355</v>
      </c>
    </row>
    <row r="430" spans="1:23" ht="32.25" customHeight="1" x14ac:dyDescent="0.2">
      <c r="A430" s="23">
        <v>441</v>
      </c>
      <c r="B430" s="9" t="s">
        <v>384</v>
      </c>
      <c r="C430" s="9" t="s">
        <v>838</v>
      </c>
      <c r="D430" s="9" t="s">
        <v>446</v>
      </c>
      <c r="E430" s="9" t="s">
        <v>657</v>
      </c>
      <c r="F430" s="24">
        <v>18</v>
      </c>
      <c r="G430" s="24">
        <v>41</v>
      </c>
      <c r="H430" s="24">
        <v>18</v>
      </c>
      <c r="I430" s="25">
        <v>6.1</v>
      </c>
      <c r="J430" s="25">
        <v>9.8000000000000007</v>
      </c>
      <c r="K430" s="26">
        <v>0</v>
      </c>
      <c r="L430" s="26">
        <v>0</v>
      </c>
      <c r="M430" s="24">
        <v>3</v>
      </c>
      <c r="N430" s="31"/>
      <c r="O430" s="28" t="s">
        <v>345</v>
      </c>
      <c r="P430" s="28"/>
      <c r="Q430" s="28" t="s">
        <v>345</v>
      </c>
      <c r="R430" s="29">
        <f>LN(F430+1)/LN(MAX($F$10:$F$511)+1)*100</f>
        <v>29.684051486503421</v>
      </c>
      <c r="S430" s="29">
        <f>IF(H430=0,0,(K430*0.5+L430*0.5)*100)</f>
        <v>0</v>
      </c>
      <c r="T430" s="29">
        <f>IF(M430="",0,MIN(100,M430/MAX($M$10:$M$511)*100))</f>
        <v>4.0080160320641281E-2</v>
      </c>
      <c r="U430" s="29">
        <f>MIN(100,IF(O430="Yes",50,0)+IF(N430="Yes",30,0)+IF(P430="Yes",20,0))</f>
        <v>0</v>
      </c>
      <c r="V430" s="30">
        <f>ROUND(U430*$C$3+S430*$C$4+T430*$C$5+R430*$C$6,1)</f>
        <v>4.5</v>
      </c>
      <c r="W430" s="9" t="s">
        <v>652</v>
      </c>
    </row>
    <row r="431" spans="1:23" ht="15" customHeight="1" x14ac:dyDescent="0.2">
      <c r="A431" s="23">
        <v>442</v>
      </c>
      <c r="B431" s="9" t="s">
        <v>402</v>
      </c>
      <c r="C431" s="9" t="s">
        <v>908</v>
      </c>
      <c r="D431" s="9" t="s">
        <v>909</v>
      </c>
      <c r="E431" s="9" t="s">
        <v>811</v>
      </c>
      <c r="F431" s="24">
        <v>18</v>
      </c>
      <c r="G431" s="24">
        <v>10</v>
      </c>
      <c r="H431" s="24">
        <v>18</v>
      </c>
      <c r="I431" s="25">
        <v>15.3</v>
      </c>
      <c r="J431" s="25">
        <v>22.5</v>
      </c>
      <c r="K431" s="26">
        <v>0</v>
      </c>
      <c r="L431" s="26">
        <v>0</v>
      </c>
      <c r="M431" s="24">
        <v>3</v>
      </c>
      <c r="N431" s="31"/>
      <c r="O431" s="28" t="s">
        <v>345</v>
      </c>
      <c r="P431" s="28"/>
      <c r="Q431" s="28" t="s">
        <v>345</v>
      </c>
      <c r="R431" s="29">
        <f>LN(F431+1)/LN(MAX($F$10:$F$511)+1)*100</f>
        <v>29.684051486503421</v>
      </c>
      <c r="S431" s="29">
        <f>IF(H431=0,0,(K431*0.5+L431*0.5)*100)</f>
        <v>0</v>
      </c>
      <c r="T431" s="29">
        <f>IF(M431="",0,MIN(100,M431/MAX($M$10:$M$511)*100))</f>
        <v>4.0080160320641281E-2</v>
      </c>
      <c r="U431" s="29">
        <f>MIN(100,IF(O431="Yes",50,0)+IF(N431="Yes",30,0)+IF(P431="Yes",20,0))</f>
        <v>0</v>
      </c>
      <c r="V431" s="30">
        <f>ROUND(U431*$C$3+S431*$C$4+T431*$C$5+R431*$C$6,1)</f>
        <v>4.5</v>
      </c>
      <c r="W431" s="9" t="s">
        <v>652</v>
      </c>
    </row>
    <row r="432" spans="1:23" ht="21.75" customHeight="1" x14ac:dyDescent="0.2">
      <c r="A432" s="23">
        <v>136</v>
      </c>
      <c r="B432" s="9" t="s">
        <v>416</v>
      </c>
      <c r="C432" s="9" t="s">
        <v>594</v>
      </c>
      <c r="D432" s="9" t="s">
        <v>195</v>
      </c>
      <c r="E432" s="9" t="s">
        <v>595</v>
      </c>
      <c r="F432" s="24">
        <v>17</v>
      </c>
      <c r="G432" s="24">
        <v>20</v>
      </c>
      <c r="H432" s="24">
        <v>17</v>
      </c>
      <c r="I432" s="25">
        <v>8.9</v>
      </c>
      <c r="J432" s="25">
        <v>6.9</v>
      </c>
      <c r="K432" s="26">
        <v>0</v>
      </c>
      <c r="L432" s="26">
        <v>0</v>
      </c>
      <c r="M432" s="27"/>
      <c r="N432" s="31"/>
      <c r="O432" s="28" t="s">
        <v>345</v>
      </c>
      <c r="P432" s="28"/>
      <c r="Q432" s="28" t="s">
        <v>345</v>
      </c>
      <c r="R432" s="29">
        <f>LN(F432+1)/LN(MAX($F$10:$F$511)+1)*100</f>
        <v>29.138978489143025</v>
      </c>
      <c r="S432" s="29">
        <f>IF(H432=0,0,(K432*0.5+L432*0.5)*100)</f>
        <v>0</v>
      </c>
      <c r="T432" s="29">
        <f>IF(M432="",0,MIN(100,M432/MAX($M$10:$M$511)*100))</f>
        <v>0</v>
      </c>
      <c r="U432" s="29">
        <f>MIN(100,IF(O432="Yes",50,0)+IF(N432="Yes",30,0)+IF(P432="Yes",20,0))</f>
        <v>0</v>
      </c>
      <c r="V432" s="30">
        <f>ROUND(U432*$C$3+S432*$C$4+T432*$C$5+R432*$C$6,1)</f>
        <v>4.4000000000000004</v>
      </c>
      <c r="W432" s="9" t="s">
        <v>355</v>
      </c>
    </row>
    <row r="433" spans="1:23" ht="15" customHeight="1" x14ac:dyDescent="0.2">
      <c r="A433" s="23">
        <v>443</v>
      </c>
      <c r="B433" s="9" t="s">
        <v>476</v>
      </c>
      <c r="C433" s="9" t="s">
        <v>910</v>
      </c>
      <c r="D433" s="9" t="s">
        <v>478</v>
      </c>
      <c r="E433" s="9" t="s">
        <v>581</v>
      </c>
      <c r="F433" s="24">
        <v>17</v>
      </c>
      <c r="G433" s="24">
        <v>7</v>
      </c>
      <c r="H433" s="24">
        <v>17</v>
      </c>
      <c r="I433" s="25">
        <v>2</v>
      </c>
      <c r="J433" s="25">
        <v>5.7</v>
      </c>
      <c r="K433" s="26">
        <v>0</v>
      </c>
      <c r="L433" s="26">
        <v>0</v>
      </c>
      <c r="M433" s="24">
        <v>9</v>
      </c>
      <c r="N433" s="31"/>
      <c r="O433" s="28" t="s">
        <v>345</v>
      </c>
      <c r="P433" s="28"/>
      <c r="Q433" s="28" t="s">
        <v>345</v>
      </c>
      <c r="R433" s="29">
        <f>LN(F433+1)/LN(MAX($F$10:$F$511)+1)*100</f>
        <v>29.138978489143025</v>
      </c>
      <c r="S433" s="29">
        <f>IF(H433=0,0,(K433*0.5+L433*0.5)*100)</f>
        <v>0</v>
      </c>
      <c r="T433" s="29">
        <f>IF(M433="",0,MIN(100,M433/MAX($M$10:$M$511)*100))</f>
        <v>0.12024048096192384</v>
      </c>
      <c r="U433" s="29">
        <f>MIN(100,IF(O433="Yes",50,0)+IF(N433="Yes",30,0)+IF(P433="Yes",20,0))</f>
        <v>0</v>
      </c>
      <c r="V433" s="30">
        <f>ROUND(U433*$C$3+S433*$C$4+T433*$C$5+R433*$C$6,1)</f>
        <v>4.4000000000000004</v>
      </c>
      <c r="W433" s="9" t="s">
        <v>652</v>
      </c>
    </row>
    <row r="434" spans="1:23" ht="32.25" customHeight="1" x14ac:dyDescent="0.2">
      <c r="A434" s="23">
        <v>139</v>
      </c>
      <c r="B434" s="9" t="s">
        <v>280</v>
      </c>
      <c r="C434" s="9" t="s">
        <v>598</v>
      </c>
      <c r="D434" s="9" t="s">
        <v>587</v>
      </c>
      <c r="E434" s="9" t="s">
        <v>599</v>
      </c>
      <c r="F434" s="24">
        <v>15</v>
      </c>
      <c r="G434" s="24">
        <v>12</v>
      </c>
      <c r="H434" s="24">
        <v>15</v>
      </c>
      <c r="I434" s="25">
        <v>28.9</v>
      </c>
      <c r="J434" s="25">
        <v>38.299999999999997</v>
      </c>
      <c r="K434" s="26">
        <v>0</v>
      </c>
      <c r="L434" s="26">
        <v>0</v>
      </c>
      <c r="M434" s="27"/>
      <c r="N434" s="31"/>
      <c r="O434" s="28" t="s">
        <v>345</v>
      </c>
      <c r="P434" s="28"/>
      <c r="Q434" s="28" t="s">
        <v>345</v>
      </c>
      <c r="R434" s="29">
        <f>LN(F434+1)/LN(MAX($F$10:$F$511)+1)*100</f>
        <v>27.951561219028452</v>
      </c>
      <c r="S434" s="29">
        <f>IF(H434=0,0,(K434*0.5+L434*0.5)*100)</f>
        <v>0</v>
      </c>
      <c r="T434" s="29">
        <f>IF(M434="",0,MIN(100,M434/MAX($M$10:$M$511)*100))</f>
        <v>0</v>
      </c>
      <c r="U434" s="29">
        <f>MIN(100,IF(O434="Yes",50,0)+IF(N434="Yes",30,0)+IF(P434="Yes",20,0))</f>
        <v>0</v>
      </c>
      <c r="V434" s="30">
        <f>ROUND(U434*$C$3+S434*$C$4+T434*$C$5+R434*$C$6,1)</f>
        <v>4.2</v>
      </c>
      <c r="W434" s="9" t="s">
        <v>355</v>
      </c>
    </row>
    <row r="435" spans="1:23" ht="15" customHeight="1" x14ac:dyDescent="0.2">
      <c r="A435" s="23">
        <v>444</v>
      </c>
      <c r="B435" s="9" t="s">
        <v>476</v>
      </c>
      <c r="C435" s="9" t="s">
        <v>911</v>
      </c>
      <c r="D435" s="9" t="s">
        <v>478</v>
      </c>
      <c r="E435" s="9" t="s">
        <v>538</v>
      </c>
      <c r="F435" s="24">
        <v>14</v>
      </c>
      <c r="G435" s="24">
        <v>4</v>
      </c>
      <c r="H435" s="24">
        <v>14</v>
      </c>
      <c r="I435" s="25">
        <v>2.9</v>
      </c>
      <c r="J435" s="25">
        <v>4.3</v>
      </c>
      <c r="K435" s="26">
        <v>0</v>
      </c>
      <c r="L435" s="26">
        <v>0</v>
      </c>
      <c r="M435" s="24">
        <v>6</v>
      </c>
      <c r="N435" s="31"/>
      <c r="O435" s="28" t="s">
        <v>345</v>
      </c>
      <c r="P435" s="28"/>
      <c r="Q435" s="28" t="s">
        <v>345</v>
      </c>
      <c r="R435" s="29">
        <f>LN(F435+1)/LN(MAX($F$10:$F$511)+1)*100</f>
        <v>27.300922914799507</v>
      </c>
      <c r="S435" s="29">
        <f>IF(H435=0,0,(K435*0.5+L435*0.5)*100)</f>
        <v>0</v>
      </c>
      <c r="T435" s="29">
        <f>IF(M435="",0,MIN(100,M435/MAX($M$10:$M$511)*100))</f>
        <v>8.0160320641282562E-2</v>
      </c>
      <c r="U435" s="29">
        <f>MIN(100,IF(O435="Yes",50,0)+IF(N435="Yes",30,0)+IF(P435="Yes",20,0))</f>
        <v>0</v>
      </c>
      <c r="V435" s="30">
        <f>ROUND(U435*$C$3+S435*$C$4+T435*$C$5+R435*$C$6,1)</f>
        <v>4.0999999999999996</v>
      </c>
      <c r="W435" s="9" t="s">
        <v>652</v>
      </c>
    </row>
    <row r="436" spans="1:23" ht="32.25" customHeight="1" x14ac:dyDescent="0.2">
      <c r="A436" s="23">
        <v>445</v>
      </c>
      <c r="B436" s="9" t="s">
        <v>384</v>
      </c>
      <c r="C436" s="9" t="s">
        <v>554</v>
      </c>
      <c r="D436" s="9"/>
      <c r="E436" s="9" t="s">
        <v>657</v>
      </c>
      <c r="F436" s="24">
        <v>9</v>
      </c>
      <c r="G436" s="24">
        <v>4100</v>
      </c>
      <c r="H436" s="24">
        <v>9</v>
      </c>
      <c r="I436" s="25">
        <v>0.9</v>
      </c>
      <c r="J436" s="25">
        <v>5.6</v>
      </c>
      <c r="K436" s="26">
        <v>0</v>
      </c>
      <c r="L436" s="26">
        <v>0</v>
      </c>
      <c r="M436" s="24">
        <v>188</v>
      </c>
      <c r="N436" s="31"/>
      <c r="O436" s="28" t="s">
        <v>345</v>
      </c>
      <c r="P436" s="28"/>
      <c r="Q436" s="28" t="s">
        <v>345</v>
      </c>
      <c r="R436" s="29">
        <f>LN(F436+1)/LN(MAX($F$10:$F$511)+1)*100</f>
        <v>23.213269127363667</v>
      </c>
      <c r="S436" s="29">
        <f>IF(H436=0,0,(K436*0.5+L436*0.5)*100)</f>
        <v>0</v>
      </c>
      <c r="T436" s="29">
        <f>IF(M436="",0,MIN(100,M436/MAX($M$10:$M$511)*100))</f>
        <v>2.511690046760187</v>
      </c>
      <c r="U436" s="29">
        <f>MIN(100,IF(O436="Yes",50,0)+IF(N436="Yes",30,0)+IF(P436="Yes",20,0))</f>
        <v>0</v>
      </c>
      <c r="V436" s="30">
        <f>ROUND(U436*$C$3+S436*$C$4+T436*$C$5+R436*$C$6,1)</f>
        <v>4.0999999999999996</v>
      </c>
      <c r="W436" s="9" t="s">
        <v>781</v>
      </c>
    </row>
    <row r="437" spans="1:23" ht="32.25" customHeight="1" x14ac:dyDescent="0.2">
      <c r="A437" s="23">
        <v>446</v>
      </c>
      <c r="B437" s="9" t="s">
        <v>384</v>
      </c>
      <c r="C437" s="9" t="s">
        <v>655</v>
      </c>
      <c r="D437" s="9" t="s">
        <v>902</v>
      </c>
      <c r="E437" s="9" t="s">
        <v>657</v>
      </c>
      <c r="F437" s="24">
        <v>10</v>
      </c>
      <c r="G437" s="24">
        <v>67</v>
      </c>
      <c r="H437" s="24">
        <v>10</v>
      </c>
      <c r="I437" s="25">
        <v>22.4</v>
      </c>
      <c r="J437" s="25">
        <v>22.7</v>
      </c>
      <c r="K437" s="26">
        <v>0</v>
      </c>
      <c r="L437" s="26">
        <v>0</v>
      </c>
      <c r="M437" s="24">
        <v>108</v>
      </c>
      <c r="N437" s="31"/>
      <c r="O437" s="28" t="s">
        <v>345</v>
      </c>
      <c r="P437" s="28"/>
      <c r="Q437" s="28" t="s">
        <v>345</v>
      </c>
      <c r="R437" s="29">
        <f>LN(F437+1)/LN(MAX($F$10:$F$511)+1)*100</f>
        <v>24.174128667845775</v>
      </c>
      <c r="S437" s="29">
        <f>IF(H437=0,0,(K437*0.5+L437*0.5)*100)</f>
        <v>0</v>
      </c>
      <c r="T437" s="29">
        <f>IF(M437="",0,MIN(100,M437/MAX($M$10:$M$511)*100))</f>
        <v>1.4428857715430863</v>
      </c>
      <c r="U437" s="29">
        <f>MIN(100,IF(O437="Yes",50,0)+IF(N437="Yes",30,0)+IF(P437="Yes",20,0))</f>
        <v>0</v>
      </c>
      <c r="V437" s="30">
        <f>ROUND(U437*$C$3+S437*$C$4+T437*$C$5+R437*$C$6,1)</f>
        <v>4</v>
      </c>
      <c r="W437" s="9" t="s">
        <v>370</v>
      </c>
    </row>
    <row r="438" spans="1:23" ht="21.75" customHeight="1" x14ac:dyDescent="0.2">
      <c r="A438" s="23">
        <v>146</v>
      </c>
      <c r="B438" s="9" t="s">
        <v>416</v>
      </c>
      <c r="C438" s="9" t="s">
        <v>606</v>
      </c>
      <c r="D438" s="9"/>
      <c r="E438" s="9" t="s">
        <v>607</v>
      </c>
      <c r="F438" s="24">
        <v>11</v>
      </c>
      <c r="G438" s="24">
        <v>8</v>
      </c>
      <c r="H438" s="24">
        <v>11</v>
      </c>
      <c r="I438" s="25">
        <v>5.2</v>
      </c>
      <c r="J438" s="25">
        <v>10.8</v>
      </c>
      <c r="K438" s="26">
        <v>0</v>
      </c>
      <c r="L438" s="26">
        <v>0</v>
      </c>
      <c r="M438" s="27"/>
      <c r="N438" s="31"/>
      <c r="O438" s="28" t="s">
        <v>345</v>
      </c>
      <c r="P438" s="28"/>
      <c r="Q438" s="28" t="s">
        <v>345</v>
      </c>
      <c r="R438" s="29">
        <f>LN(F438+1)/LN(MAX($F$10:$F$511)+1)*100</f>
        <v>25.051324701707184</v>
      </c>
      <c r="S438" s="29">
        <f>IF(H438=0,0,(K438*0.5+L438*0.5)*100)</f>
        <v>0</v>
      </c>
      <c r="T438" s="29">
        <f>IF(M438="",0,MIN(100,M438/MAX($M$10:$M$511)*100))</f>
        <v>0</v>
      </c>
      <c r="U438" s="29">
        <f>MIN(100,IF(O438="Yes",50,0)+IF(N438="Yes",30,0)+IF(P438="Yes",20,0))</f>
        <v>0</v>
      </c>
      <c r="V438" s="30">
        <f>ROUND(U438*$C$3+S438*$C$4+T438*$C$5+R438*$C$6,1)</f>
        <v>3.8</v>
      </c>
      <c r="W438" s="9" t="s">
        <v>518</v>
      </c>
    </row>
    <row r="439" spans="1:23" ht="21.75" customHeight="1" x14ac:dyDescent="0.2">
      <c r="A439" s="23">
        <v>447</v>
      </c>
      <c r="B439" s="9" t="s">
        <v>384</v>
      </c>
      <c r="C439" s="9" t="s">
        <v>774</v>
      </c>
      <c r="D439" s="9" t="s">
        <v>872</v>
      </c>
      <c r="E439" s="9" t="s">
        <v>657</v>
      </c>
      <c r="F439" s="24">
        <v>11</v>
      </c>
      <c r="G439" s="24">
        <v>44</v>
      </c>
      <c r="H439" s="24">
        <v>11</v>
      </c>
      <c r="I439" s="25">
        <v>10.3</v>
      </c>
      <c r="J439" s="25">
        <v>17.7</v>
      </c>
      <c r="K439" s="26">
        <v>0</v>
      </c>
      <c r="L439" s="26">
        <v>0</v>
      </c>
      <c r="M439" s="24">
        <v>5</v>
      </c>
      <c r="N439" s="31"/>
      <c r="O439" s="28" t="s">
        <v>345</v>
      </c>
      <c r="P439" s="28"/>
      <c r="Q439" s="28" t="s">
        <v>345</v>
      </c>
      <c r="R439" s="29">
        <f>LN(F439+1)/LN(MAX($F$10:$F$511)+1)*100</f>
        <v>25.051324701707184</v>
      </c>
      <c r="S439" s="29">
        <f>IF(H439=0,0,(K439*0.5+L439*0.5)*100)</f>
        <v>0</v>
      </c>
      <c r="T439" s="29">
        <f>IF(M439="",0,MIN(100,M439/MAX($M$10:$M$511)*100))</f>
        <v>6.6800267201068811E-2</v>
      </c>
      <c r="U439" s="29">
        <f>MIN(100,IF(O439="Yes",50,0)+IF(N439="Yes",30,0)+IF(P439="Yes",20,0))</f>
        <v>0</v>
      </c>
      <c r="V439" s="30">
        <f>ROUND(U439*$C$3+S439*$C$4+T439*$C$5+R439*$C$6,1)</f>
        <v>3.8</v>
      </c>
      <c r="W439" s="9" t="s">
        <v>652</v>
      </c>
    </row>
    <row r="440" spans="1:23" ht="32.25" customHeight="1" x14ac:dyDescent="0.2">
      <c r="A440" s="23">
        <v>448</v>
      </c>
      <c r="B440" s="9" t="s">
        <v>384</v>
      </c>
      <c r="C440" s="9" t="s">
        <v>761</v>
      </c>
      <c r="D440" s="9" t="s">
        <v>903</v>
      </c>
      <c r="E440" s="9" t="s">
        <v>657</v>
      </c>
      <c r="F440" s="24">
        <v>5</v>
      </c>
      <c r="G440" s="24">
        <v>128</v>
      </c>
      <c r="H440" s="24">
        <v>5</v>
      </c>
      <c r="I440" s="25">
        <v>5.8</v>
      </c>
      <c r="J440" s="25">
        <v>13.5</v>
      </c>
      <c r="K440" s="26">
        <v>0</v>
      </c>
      <c r="L440" s="26">
        <v>0</v>
      </c>
      <c r="M440" s="24">
        <v>302</v>
      </c>
      <c r="N440" s="31"/>
      <c r="O440" s="28" t="s">
        <v>345</v>
      </c>
      <c r="P440" s="28"/>
      <c r="Q440" s="28" t="s">
        <v>345</v>
      </c>
      <c r="R440" s="29">
        <f>LN(F440+1)/LN(MAX($F$10:$F$511)+1)*100</f>
        <v>18.063434396950068</v>
      </c>
      <c r="S440" s="29">
        <f>IF(H440=0,0,(K440*0.5+L440*0.5)*100)</f>
        <v>0</v>
      </c>
      <c r="T440" s="29">
        <f>IF(M440="",0,MIN(100,M440/MAX($M$10:$M$511)*100))</f>
        <v>4.034736138944556</v>
      </c>
      <c r="U440" s="29">
        <f>MIN(100,IF(O440="Yes",50,0)+IF(N440="Yes",30,0)+IF(P440="Yes",20,0))</f>
        <v>0</v>
      </c>
      <c r="V440" s="30">
        <f>ROUND(U440*$C$3+S440*$C$4+T440*$C$5+R440*$C$6,1)</f>
        <v>3.7</v>
      </c>
      <c r="W440" s="9" t="s">
        <v>597</v>
      </c>
    </row>
    <row r="441" spans="1:23" ht="32.25" customHeight="1" x14ac:dyDescent="0.2">
      <c r="A441" s="23">
        <v>449</v>
      </c>
      <c r="B441" s="9" t="s">
        <v>384</v>
      </c>
      <c r="C441" s="9" t="s">
        <v>838</v>
      </c>
      <c r="D441" s="9" t="s">
        <v>862</v>
      </c>
      <c r="E441" s="9" t="s">
        <v>657</v>
      </c>
      <c r="F441" s="24">
        <v>8</v>
      </c>
      <c r="G441" s="24">
        <v>41</v>
      </c>
      <c r="H441" s="24">
        <v>8</v>
      </c>
      <c r="I441" s="25">
        <v>16</v>
      </c>
      <c r="J441" s="25">
        <v>21.2</v>
      </c>
      <c r="K441" s="26">
        <v>0</v>
      </c>
      <c r="L441" s="26">
        <v>0</v>
      </c>
      <c r="M441" s="24">
        <v>3</v>
      </c>
      <c r="N441" s="31"/>
      <c r="O441" s="28" t="s">
        <v>345</v>
      </c>
      <c r="P441" s="28"/>
      <c r="Q441" s="28" t="s">
        <v>345</v>
      </c>
      <c r="R441" s="29">
        <f>LN(F441+1)/LN(MAX($F$10:$F$511)+1)*100</f>
        <v>22.151088184385912</v>
      </c>
      <c r="S441" s="29">
        <f>IF(H441=0,0,(K441*0.5+L441*0.5)*100)</f>
        <v>0</v>
      </c>
      <c r="T441" s="29">
        <f>IF(M441="",0,MIN(100,M441/MAX($M$10:$M$511)*100))</f>
        <v>4.0080160320641281E-2</v>
      </c>
      <c r="U441" s="29">
        <f>MIN(100,IF(O441="Yes",50,0)+IF(N441="Yes",30,0)+IF(P441="Yes",20,0))</f>
        <v>0</v>
      </c>
      <c r="V441" s="30">
        <f>ROUND(U441*$C$3+S441*$C$4+T441*$C$5+R441*$C$6,1)</f>
        <v>3.3</v>
      </c>
      <c r="W441" s="9" t="s">
        <v>738</v>
      </c>
    </row>
    <row r="442" spans="1:23" ht="21.75" customHeight="1" x14ac:dyDescent="0.2">
      <c r="A442" s="23">
        <v>450</v>
      </c>
      <c r="B442" s="9" t="s">
        <v>384</v>
      </c>
      <c r="C442" s="9" t="s">
        <v>838</v>
      </c>
      <c r="D442" s="9" t="s">
        <v>872</v>
      </c>
      <c r="E442" s="9" t="s">
        <v>657</v>
      </c>
      <c r="F442" s="24">
        <v>8</v>
      </c>
      <c r="G442" s="24">
        <v>41</v>
      </c>
      <c r="H442" s="24">
        <v>8</v>
      </c>
      <c r="I442" s="25">
        <v>9.5</v>
      </c>
      <c r="J442" s="25">
        <v>25.6</v>
      </c>
      <c r="K442" s="26">
        <v>0</v>
      </c>
      <c r="L442" s="26">
        <v>0</v>
      </c>
      <c r="M442" s="24">
        <v>3</v>
      </c>
      <c r="N442" s="31"/>
      <c r="O442" s="28" t="s">
        <v>345</v>
      </c>
      <c r="P442" s="28"/>
      <c r="Q442" s="28" t="s">
        <v>345</v>
      </c>
      <c r="R442" s="29">
        <f>LN(F442+1)/LN(MAX($F$10:$F$511)+1)*100</f>
        <v>22.151088184385912</v>
      </c>
      <c r="S442" s="29">
        <f>IF(H442=0,0,(K442*0.5+L442*0.5)*100)</f>
        <v>0</v>
      </c>
      <c r="T442" s="29">
        <f>IF(M442="",0,MIN(100,M442/MAX($M$10:$M$511)*100))</f>
        <v>4.0080160320641281E-2</v>
      </c>
      <c r="U442" s="29">
        <f>MIN(100,IF(O442="Yes",50,0)+IF(N442="Yes",30,0)+IF(P442="Yes",20,0))</f>
        <v>0</v>
      </c>
      <c r="V442" s="30">
        <f>ROUND(U442*$C$3+S442*$C$4+T442*$C$5+R442*$C$6,1)</f>
        <v>3.3</v>
      </c>
      <c r="W442" s="9" t="s">
        <v>738</v>
      </c>
    </row>
    <row r="443" spans="1:23" ht="21.75" customHeight="1" x14ac:dyDescent="0.2">
      <c r="A443" s="23">
        <v>451</v>
      </c>
      <c r="B443" s="9" t="s">
        <v>476</v>
      </c>
      <c r="C443" s="9" t="s">
        <v>912</v>
      </c>
      <c r="D443" s="9" t="s">
        <v>478</v>
      </c>
      <c r="E443" s="9" t="s">
        <v>562</v>
      </c>
      <c r="F443" s="24">
        <v>8</v>
      </c>
      <c r="G443" s="24">
        <v>5</v>
      </c>
      <c r="H443" s="24">
        <v>8</v>
      </c>
      <c r="I443" s="25">
        <v>0.2</v>
      </c>
      <c r="J443" s="25">
        <v>0.8</v>
      </c>
      <c r="K443" s="26">
        <v>0</v>
      </c>
      <c r="L443" s="26">
        <v>0</v>
      </c>
      <c r="M443" s="24">
        <v>2</v>
      </c>
      <c r="N443" s="31"/>
      <c r="O443" s="28" t="s">
        <v>345</v>
      </c>
      <c r="P443" s="28"/>
      <c r="Q443" s="28" t="s">
        <v>345</v>
      </c>
      <c r="R443" s="29">
        <f>LN(F443+1)/LN(MAX($F$10:$F$511)+1)*100</f>
        <v>22.151088184385912</v>
      </c>
      <c r="S443" s="29">
        <f>IF(H443=0,0,(K443*0.5+L443*0.5)*100)</f>
        <v>0</v>
      </c>
      <c r="T443" s="29">
        <f>IF(M443="",0,MIN(100,M443/MAX($M$10:$M$511)*100))</f>
        <v>2.6720106880427523E-2</v>
      </c>
      <c r="U443" s="29">
        <f>MIN(100,IF(O443="Yes",50,0)+IF(N443="Yes",30,0)+IF(P443="Yes",20,0))</f>
        <v>0</v>
      </c>
      <c r="V443" s="30">
        <f>ROUND(U443*$C$3+S443*$C$4+T443*$C$5+R443*$C$6,1)</f>
        <v>3.3</v>
      </c>
      <c r="W443" s="9" t="s">
        <v>738</v>
      </c>
    </row>
    <row r="444" spans="1:23" ht="32.25" customHeight="1" x14ac:dyDescent="0.2">
      <c r="A444" s="23">
        <v>452</v>
      </c>
      <c r="B444" s="9" t="s">
        <v>280</v>
      </c>
      <c r="C444" s="9" t="s">
        <v>454</v>
      </c>
      <c r="D444" s="9" t="s">
        <v>534</v>
      </c>
      <c r="E444" s="9" t="s">
        <v>535</v>
      </c>
      <c r="F444" s="24">
        <v>8</v>
      </c>
      <c r="G444" s="24">
        <v>26</v>
      </c>
      <c r="H444" s="24">
        <v>8</v>
      </c>
      <c r="I444" s="25">
        <v>29.4</v>
      </c>
      <c r="J444" s="25">
        <v>34.299999999999997</v>
      </c>
      <c r="K444" s="26">
        <v>0</v>
      </c>
      <c r="L444" s="26">
        <v>0</v>
      </c>
      <c r="M444" s="24">
        <v>2</v>
      </c>
      <c r="N444" s="31"/>
      <c r="O444" s="28" t="s">
        <v>345</v>
      </c>
      <c r="P444" s="28"/>
      <c r="Q444" s="28" t="s">
        <v>345</v>
      </c>
      <c r="R444" s="29">
        <f>LN(F444+1)/LN(MAX($F$10:$F$511)+1)*100</f>
        <v>22.151088184385912</v>
      </c>
      <c r="S444" s="29">
        <f>IF(H444=0,0,(K444*0.5+L444*0.5)*100)</f>
        <v>0</v>
      </c>
      <c r="T444" s="29">
        <f>IF(M444="",0,MIN(100,M444/MAX($M$10:$M$511)*100))</f>
        <v>2.6720106880427523E-2</v>
      </c>
      <c r="U444" s="29">
        <f>MIN(100,IF(O444="Yes",50,0)+IF(N444="Yes",30,0)+IF(P444="Yes",20,0))</f>
        <v>0</v>
      </c>
      <c r="V444" s="30">
        <f>ROUND(U444*$C$3+S444*$C$4+T444*$C$5+R444*$C$6,1)</f>
        <v>3.3</v>
      </c>
      <c r="W444" s="9" t="s">
        <v>738</v>
      </c>
    </row>
    <row r="445" spans="1:23" ht="21.75" customHeight="1" x14ac:dyDescent="0.2">
      <c r="A445" s="23">
        <v>453</v>
      </c>
      <c r="B445" s="9" t="s">
        <v>416</v>
      </c>
      <c r="C445" s="9" t="s">
        <v>448</v>
      </c>
      <c r="D445" s="9" t="s">
        <v>218</v>
      </c>
      <c r="E445" s="9" t="s">
        <v>884</v>
      </c>
      <c r="F445" s="24">
        <v>8</v>
      </c>
      <c r="G445" s="24">
        <v>16</v>
      </c>
      <c r="H445" s="24">
        <v>8</v>
      </c>
      <c r="I445" s="25">
        <v>15.5</v>
      </c>
      <c r="J445" s="25">
        <v>14.3</v>
      </c>
      <c r="K445" s="26">
        <v>0</v>
      </c>
      <c r="L445" s="26">
        <v>0</v>
      </c>
      <c r="M445" s="24">
        <v>1</v>
      </c>
      <c r="N445" s="31"/>
      <c r="O445" s="28" t="s">
        <v>345</v>
      </c>
      <c r="P445" s="28"/>
      <c r="Q445" s="28" t="s">
        <v>345</v>
      </c>
      <c r="R445" s="29">
        <f>LN(F445+1)/LN(MAX($F$10:$F$511)+1)*100</f>
        <v>22.151088184385912</v>
      </c>
      <c r="S445" s="29">
        <f>IF(H445=0,0,(K445*0.5+L445*0.5)*100)</f>
        <v>0</v>
      </c>
      <c r="T445" s="29">
        <f>IF(M445="",0,MIN(100,M445/MAX($M$10:$M$511)*100))</f>
        <v>1.3360053440213761E-2</v>
      </c>
      <c r="U445" s="29">
        <f>MIN(100,IF(O445="Yes",50,0)+IF(N445="Yes",30,0)+IF(P445="Yes",20,0))</f>
        <v>0</v>
      </c>
      <c r="V445" s="30">
        <f>ROUND(U445*$C$3+S445*$C$4+T445*$C$5+R445*$C$6,1)</f>
        <v>3.3</v>
      </c>
      <c r="W445" s="9" t="s">
        <v>738</v>
      </c>
    </row>
    <row r="446" spans="1:23" ht="32.25" customHeight="1" x14ac:dyDescent="0.2">
      <c r="A446" s="23">
        <v>454</v>
      </c>
      <c r="B446" s="9" t="s">
        <v>402</v>
      </c>
      <c r="C446" s="9" t="s">
        <v>913</v>
      </c>
      <c r="D446" s="9"/>
      <c r="E446" s="9" t="s">
        <v>857</v>
      </c>
      <c r="F446" s="24">
        <v>7</v>
      </c>
      <c r="G446" s="27"/>
      <c r="H446" s="24">
        <v>7</v>
      </c>
      <c r="I446" s="25">
        <v>9.6999999999999993</v>
      </c>
      <c r="J446" s="25">
        <v>8.8000000000000007</v>
      </c>
      <c r="K446" s="26">
        <v>0</v>
      </c>
      <c r="L446" s="26">
        <v>0</v>
      </c>
      <c r="M446" s="24">
        <v>13</v>
      </c>
      <c r="N446" s="31"/>
      <c r="O446" s="28" t="s">
        <v>345</v>
      </c>
      <c r="P446" s="28"/>
      <c r="Q446" s="28" t="s">
        <v>345</v>
      </c>
      <c r="R446" s="29">
        <f>LN(F446+1)/LN(MAX($F$10:$F$511)+1)*100</f>
        <v>20.963670914271336</v>
      </c>
      <c r="S446" s="29">
        <f>IF(H446=0,0,(K446*0.5+L446*0.5)*100)</f>
        <v>0</v>
      </c>
      <c r="T446" s="29">
        <f>IF(M446="",0,MIN(100,M446/MAX($M$10:$M$511)*100))</f>
        <v>0.17368069472277889</v>
      </c>
      <c r="U446" s="29">
        <f>MIN(100,IF(O446="Yes",50,0)+IF(N446="Yes",30,0)+IF(P446="Yes",20,0))</f>
        <v>0</v>
      </c>
      <c r="V446" s="30">
        <f>ROUND(U446*$C$3+S446*$C$4+T446*$C$5+R446*$C$6,1)</f>
        <v>3.2</v>
      </c>
      <c r="W446" s="9" t="s">
        <v>914</v>
      </c>
    </row>
    <row r="447" spans="1:23" ht="32.25" customHeight="1" x14ac:dyDescent="0.2">
      <c r="A447" s="23">
        <v>455</v>
      </c>
      <c r="B447" s="9" t="s">
        <v>384</v>
      </c>
      <c r="C447" s="9" t="s">
        <v>429</v>
      </c>
      <c r="D447" s="9" t="s">
        <v>821</v>
      </c>
      <c r="E447" s="9" t="s">
        <v>657</v>
      </c>
      <c r="F447" s="24">
        <v>5</v>
      </c>
      <c r="G447" s="24">
        <v>57</v>
      </c>
      <c r="H447" s="24">
        <v>5</v>
      </c>
      <c r="I447" s="25">
        <v>0.1</v>
      </c>
      <c r="J447" s="25">
        <v>0.3</v>
      </c>
      <c r="K447" s="26">
        <v>0</v>
      </c>
      <c r="L447" s="26">
        <v>0</v>
      </c>
      <c r="M447" s="24">
        <v>142</v>
      </c>
      <c r="N447" s="31"/>
      <c r="O447" s="28" t="s">
        <v>345</v>
      </c>
      <c r="P447" s="28"/>
      <c r="Q447" s="28" t="s">
        <v>345</v>
      </c>
      <c r="R447" s="29">
        <f>LN(F447+1)/LN(MAX($F$10:$F$511)+1)*100</f>
        <v>18.063434396950068</v>
      </c>
      <c r="S447" s="29">
        <f>IF(H447=0,0,(K447*0.5+L447*0.5)*100)</f>
        <v>0</v>
      </c>
      <c r="T447" s="29">
        <f>IF(M447="",0,MIN(100,M447/MAX($M$10:$M$511)*100))</f>
        <v>1.8971275885103542</v>
      </c>
      <c r="U447" s="29">
        <f>MIN(100,IF(O447="Yes",50,0)+IF(N447="Yes",30,0)+IF(P447="Yes",20,0))</f>
        <v>0</v>
      </c>
      <c r="V447" s="30">
        <f>ROUND(U447*$C$3+S447*$C$4+T447*$C$5+R447*$C$6,1)</f>
        <v>3.2</v>
      </c>
      <c r="W447" s="9" t="s">
        <v>597</v>
      </c>
    </row>
    <row r="448" spans="1:23" ht="32.25" customHeight="1" x14ac:dyDescent="0.2">
      <c r="A448" s="23">
        <v>456</v>
      </c>
      <c r="B448" s="9" t="s">
        <v>280</v>
      </c>
      <c r="C448" s="9" t="s">
        <v>915</v>
      </c>
      <c r="D448" s="9"/>
      <c r="E448" s="9" t="s">
        <v>916</v>
      </c>
      <c r="F448" s="24">
        <v>7</v>
      </c>
      <c r="G448" s="24">
        <v>3</v>
      </c>
      <c r="H448" s="24">
        <v>7</v>
      </c>
      <c r="I448" s="25">
        <v>41.9</v>
      </c>
      <c r="J448" s="25">
        <v>43.6</v>
      </c>
      <c r="K448" s="26">
        <v>0</v>
      </c>
      <c r="L448" s="26">
        <v>0</v>
      </c>
      <c r="M448" s="24">
        <v>4</v>
      </c>
      <c r="N448" s="31"/>
      <c r="O448" s="28" t="s">
        <v>345</v>
      </c>
      <c r="P448" s="28"/>
      <c r="Q448" s="28" t="s">
        <v>345</v>
      </c>
      <c r="R448" s="29">
        <f>LN(F448+1)/LN(MAX($F$10:$F$511)+1)*100</f>
        <v>20.963670914271336</v>
      </c>
      <c r="S448" s="29">
        <f>IF(H448=0,0,(K448*0.5+L448*0.5)*100)</f>
        <v>0</v>
      </c>
      <c r="T448" s="29">
        <f>IF(M448="",0,MIN(100,M448/MAX($M$10:$M$511)*100))</f>
        <v>5.3440213760855046E-2</v>
      </c>
      <c r="U448" s="29">
        <f>MIN(100,IF(O448="Yes",50,0)+IF(N448="Yes",30,0)+IF(P448="Yes",20,0))</f>
        <v>0</v>
      </c>
      <c r="V448" s="30">
        <f>ROUND(U448*$C$3+S448*$C$4+T448*$C$5+R448*$C$6,1)</f>
        <v>3.2</v>
      </c>
      <c r="W448" s="9" t="s">
        <v>917</v>
      </c>
    </row>
    <row r="449" spans="1:23" ht="21.75" customHeight="1" x14ac:dyDescent="0.2">
      <c r="A449" s="23">
        <v>457</v>
      </c>
      <c r="B449" s="9" t="s">
        <v>351</v>
      </c>
      <c r="C449" s="9" t="s">
        <v>882</v>
      </c>
      <c r="D449" s="9" t="s">
        <v>589</v>
      </c>
      <c r="E449" s="9" t="s">
        <v>354</v>
      </c>
      <c r="F449" s="24">
        <v>6</v>
      </c>
      <c r="G449" s="24">
        <v>17</v>
      </c>
      <c r="H449" s="24">
        <v>0</v>
      </c>
      <c r="I449" s="25"/>
      <c r="J449" s="25"/>
      <c r="K449" s="26"/>
      <c r="L449" s="26"/>
      <c r="M449" s="24">
        <v>18</v>
      </c>
      <c r="N449" s="31"/>
      <c r="O449" s="28" t="s">
        <v>345</v>
      </c>
      <c r="P449" s="28"/>
      <c r="Q449" s="28" t="s">
        <v>345</v>
      </c>
      <c r="R449" s="29">
        <f>LN(F449+1)/LN(MAX($F$10:$F$511)+1)*100</f>
        <v>19.617488241858492</v>
      </c>
      <c r="S449" s="29">
        <f>IF(H449=0,0,(K449*0.5+L449*0.5)*100)</f>
        <v>0</v>
      </c>
      <c r="T449" s="29">
        <f>IF(M449="",0,MIN(100,M449/MAX($M$10:$M$511)*100))</f>
        <v>0.24048096192384769</v>
      </c>
      <c r="U449" s="29">
        <f>MIN(100,IF(O449="Yes",50,0)+IF(N449="Yes",30,0)+IF(P449="Yes",20,0))</f>
        <v>0</v>
      </c>
      <c r="V449" s="30">
        <f>ROUND(U449*$C$3+S449*$C$4+T449*$C$5+R449*$C$6,1)</f>
        <v>3</v>
      </c>
      <c r="W449" s="9" t="s">
        <v>918</v>
      </c>
    </row>
    <row r="450" spans="1:23" ht="32.25" customHeight="1" x14ac:dyDescent="0.2">
      <c r="A450" s="23">
        <v>458</v>
      </c>
      <c r="B450" s="9" t="s">
        <v>280</v>
      </c>
      <c r="C450" s="9" t="s">
        <v>492</v>
      </c>
      <c r="D450" s="9" t="s">
        <v>890</v>
      </c>
      <c r="E450" s="9" t="s">
        <v>535</v>
      </c>
      <c r="F450" s="24">
        <v>6</v>
      </c>
      <c r="G450" s="24">
        <v>37</v>
      </c>
      <c r="H450" s="24">
        <v>6</v>
      </c>
      <c r="I450" s="25">
        <v>27.2</v>
      </c>
      <c r="J450" s="25">
        <v>39</v>
      </c>
      <c r="K450" s="26">
        <v>0</v>
      </c>
      <c r="L450" s="26">
        <v>0</v>
      </c>
      <c r="M450" s="24">
        <v>17</v>
      </c>
      <c r="N450" s="31"/>
      <c r="O450" s="28" t="s">
        <v>345</v>
      </c>
      <c r="P450" s="28"/>
      <c r="Q450" s="28" t="s">
        <v>345</v>
      </c>
      <c r="R450" s="29">
        <f>LN(F450+1)/LN(MAX($F$10:$F$511)+1)*100</f>
        <v>19.617488241858492</v>
      </c>
      <c r="S450" s="29">
        <f>IF(H450=0,0,(K450*0.5+L450*0.5)*100)</f>
        <v>0</v>
      </c>
      <c r="T450" s="29">
        <f>IF(M450="",0,MIN(100,M450/MAX($M$10:$M$511)*100))</f>
        <v>0.22712090848363395</v>
      </c>
      <c r="U450" s="29">
        <f>MIN(100,IF(O450="Yes",50,0)+IF(N450="Yes",30,0)+IF(P450="Yes",20,0))</f>
        <v>0</v>
      </c>
      <c r="V450" s="30">
        <f>ROUND(U450*$C$3+S450*$C$4+T450*$C$5+R450*$C$6,1)</f>
        <v>3</v>
      </c>
      <c r="W450" s="9" t="s">
        <v>597</v>
      </c>
    </row>
    <row r="451" spans="1:23" ht="32.25" customHeight="1" x14ac:dyDescent="0.2">
      <c r="A451" s="23">
        <v>161</v>
      </c>
      <c r="B451" s="9" t="s">
        <v>476</v>
      </c>
      <c r="C451" s="9" t="s">
        <v>626</v>
      </c>
      <c r="D451" s="9" t="s">
        <v>193</v>
      </c>
      <c r="E451" s="9" t="s">
        <v>581</v>
      </c>
      <c r="F451" s="24">
        <v>6</v>
      </c>
      <c r="G451" s="24">
        <v>5</v>
      </c>
      <c r="H451" s="24">
        <v>6</v>
      </c>
      <c r="I451" s="25">
        <v>0.8</v>
      </c>
      <c r="J451" s="25">
        <v>1.8</v>
      </c>
      <c r="K451" s="26">
        <v>0</v>
      </c>
      <c r="L451" s="26">
        <v>0</v>
      </c>
      <c r="M451" s="27"/>
      <c r="N451" s="31"/>
      <c r="O451" s="28" t="s">
        <v>345</v>
      </c>
      <c r="P451" s="28"/>
      <c r="Q451" s="28" t="s">
        <v>345</v>
      </c>
      <c r="R451" s="29">
        <f>LN(F451+1)/LN(MAX($F$10:$F$511)+1)*100</f>
        <v>19.617488241858492</v>
      </c>
      <c r="S451" s="29">
        <f>IF(H451=0,0,(K451*0.5+L451*0.5)*100)</f>
        <v>0</v>
      </c>
      <c r="T451" s="29">
        <f>IF(M451="",0,MIN(100,M451/MAX($M$10:$M$511)*100))</f>
        <v>0</v>
      </c>
      <c r="U451" s="29">
        <f>MIN(100,IF(O451="Yes",50,0)+IF(N451="Yes",30,0)+IF(P451="Yes",20,0))</f>
        <v>0</v>
      </c>
      <c r="V451" s="30">
        <f>ROUND(U451*$C$3+S451*$C$4+T451*$C$5+R451*$C$6,1)</f>
        <v>2.9</v>
      </c>
      <c r="W451" s="9" t="s">
        <v>419</v>
      </c>
    </row>
    <row r="452" spans="1:23" ht="21.75" customHeight="1" x14ac:dyDescent="0.2">
      <c r="A452" s="23">
        <v>459</v>
      </c>
      <c r="B452" s="9" t="s">
        <v>372</v>
      </c>
      <c r="C452" s="9" t="s">
        <v>919</v>
      </c>
      <c r="D452" s="9"/>
      <c r="E452" s="9" t="s">
        <v>654</v>
      </c>
      <c r="F452" s="24">
        <v>4</v>
      </c>
      <c r="G452" s="24">
        <v>9</v>
      </c>
      <c r="H452" s="24">
        <v>4</v>
      </c>
      <c r="I452" s="25">
        <v>31</v>
      </c>
      <c r="J452" s="25">
        <v>26.4</v>
      </c>
      <c r="K452" s="26">
        <v>0</v>
      </c>
      <c r="L452" s="26">
        <v>0</v>
      </c>
      <c r="M452" s="24">
        <v>149</v>
      </c>
      <c r="N452" s="31"/>
      <c r="O452" s="28" t="s">
        <v>345</v>
      </c>
      <c r="P452" s="28"/>
      <c r="Q452" s="28" t="s">
        <v>345</v>
      </c>
      <c r="R452" s="29">
        <f>LN(F452+1)/LN(MAX($F$10:$F$511)+1)*100</f>
        <v>16.225378822606551</v>
      </c>
      <c r="S452" s="29">
        <f>IF(H452=0,0,(K452*0.5+L452*0.5)*100)</f>
        <v>0</v>
      </c>
      <c r="T452" s="29">
        <f>IF(M452="",0,MIN(100,M452/MAX($M$10:$M$511)*100))</f>
        <v>1.9906479625918503</v>
      </c>
      <c r="U452" s="29">
        <f>MIN(100,IF(O452="Yes",50,0)+IF(N452="Yes",30,0)+IF(P452="Yes",20,0))</f>
        <v>0</v>
      </c>
      <c r="V452" s="30">
        <f>ROUND(U452*$C$3+S452*$C$4+T452*$C$5+R452*$C$6,1)</f>
        <v>2.9</v>
      </c>
      <c r="W452" s="9" t="s">
        <v>781</v>
      </c>
    </row>
    <row r="453" spans="1:23" ht="15" customHeight="1" x14ac:dyDescent="0.2">
      <c r="A453" s="23">
        <v>460</v>
      </c>
      <c r="B453" s="9" t="s">
        <v>510</v>
      </c>
      <c r="C453" s="9" t="s">
        <v>920</v>
      </c>
      <c r="D453" s="9"/>
      <c r="E453" s="9" t="s">
        <v>512</v>
      </c>
      <c r="F453" s="24">
        <v>5</v>
      </c>
      <c r="G453" s="24">
        <v>12</v>
      </c>
      <c r="H453" s="24">
        <v>5</v>
      </c>
      <c r="I453" s="25">
        <v>14</v>
      </c>
      <c r="J453" s="25">
        <v>13.9</v>
      </c>
      <c r="K453" s="26">
        <v>0</v>
      </c>
      <c r="L453" s="26">
        <v>0</v>
      </c>
      <c r="M453" s="24">
        <v>13</v>
      </c>
      <c r="N453" s="31"/>
      <c r="O453" s="28" t="s">
        <v>345</v>
      </c>
      <c r="P453" s="28"/>
      <c r="Q453" s="28" t="s">
        <v>345</v>
      </c>
      <c r="R453" s="29">
        <f>LN(F453+1)/LN(MAX($F$10:$F$511)+1)*100</f>
        <v>18.063434396950068</v>
      </c>
      <c r="S453" s="29">
        <f>IF(H453=0,0,(K453*0.5+L453*0.5)*100)</f>
        <v>0</v>
      </c>
      <c r="T453" s="29">
        <f>IF(M453="",0,MIN(100,M453/MAX($M$10:$M$511)*100))</f>
        <v>0.17368069472277889</v>
      </c>
      <c r="U453" s="29">
        <f>MIN(100,IF(O453="Yes",50,0)+IF(N453="Yes",30,0)+IF(P453="Yes",20,0))</f>
        <v>0</v>
      </c>
      <c r="V453" s="30">
        <f>ROUND(U453*$C$3+S453*$C$4+T453*$C$5+R453*$C$6,1)</f>
        <v>2.8</v>
      </c>
      <c r="W453" s="9" t="s">
        <v>781</v>
      </c>
    </row>
    <row r="454" spans="1:23" ht="21.75" customHeight="1" x14ac:dyDescent="0.2">
      <c r="A454" s="23">
        <v>165</v>
      </c>
      <c r="B454" s="9" t="s">
        <v>476</v>
      </c>
      <c r="C454" s="9" t="s">
        <v>628</v>
      </c>
      <c r="D454" s="9" t="s">
        <v>629</v>
      </c>
      <c r="E454" s="9" t="s">
        <v>538</v>
      </c>
      <c r="F454" s="24">
        <v>5</v>
      </c>
      <c r="G454" s="24">
        <v>4</v>
      </c>
      <c r="H454" s="24">
        <v>5</v>
      </c>
      <c r="I454" s="25">
        <v>0</v>
      </c>
      <c r="J454" s="25">
        <v>0</v>
      </c>
      <c r="K454" s="26">
        <v>0</v>
      </c>
      <c r="L454" s="26">
        <v>0</v>
      </c>
      <c r="M454" s="27"/>
      <c r="N454" s="31"/>
      <c r="O454" s="28" t="s">
        <v>345</v>
      </c>
      <c r="P454" s="28"/>
      <c r="Q454" s="28" t="s">
        <v>345</v>
      </c>
      <c r="R454" s="29">
        <f>LN(F454+1)/LN(MAX($F$10:$F$511)+1)*100</f>
        <v>18.063434396950068</v>
      </c>
      <c r="S454" s="29">
        <f>IF(H454=0,0,(K454*0.5+L454*0.5)*100)</f>
        <v>0</v>
      </c>
      <c r="T454" s="29">
        <f>IF(M454="",0,MIN(100,M454/MAX($M$10:$M$511)*100))</f>
        <v>0</v>
      </c>
      <c r="U454" s="29">
        <f>MIN(100,IF(O454="Yes",50,0)+IF(N454="Yes",30,0)+IF(P454="Yes",20,0))</f>
        <v>0</v>
      </c>
      <c r="V454" s="30">
        <f>ROUND(U454*$C$3+S454*$C$4+T454*$C$5+R454*$C$6,1)</f>
        <v>2.7</v>
      </c>
      <c r="W454" s="9" t="s">
        <v>419</v>
      </c>
    </row>
    <row r="455" spans="1:23" ht="32.25" customHeight="1" x14ac:dyDescent="0.2">
      <c r="A455" s="23">
        <v>461</v>
      </c>
      <c r="B455" s="9" t="s">
        <v>366</v>
      </c>
      <c r="C455" s="9" t="s">
        <v>889</v>
      </c>
      <c r="D455" s="9" t="s">
        <v>921</v>
      </c>
      <c r="E455" s="9" t="s">
        <v>651</v>
      </c>
      <c r="F455" s="24">
        <v>5</v>
      </c>
      <c r="G455" s="24">
        <v>24</v>
      </c>
      <c r="H455" s="24">
        <v>5</v>
      </c>
      <c r="I455" s="25">
        <v>35</v>
      </c>
      <c r="J455" s="25">
        <v>39.200000000000003</v>
      </c>
      <c r="K455" s="26">
        <v>0</v>
      </c>
      <c r="L455" s="26">
        <v>0</v>
      </c>
      <c r="M455" s="24">
        <v>2</v>
      </c>
      <c r="N455" s="31"/>
      <c r="O455" s="28" t="s">
        <v>345</v>
      </c>
      <c r="P455" s="28"/>
      <c r="Q455" s="28" t="s">
        <v>345</v>
      </c>
      <c r="R455" s="29">
        <f>LN(F455+1)/LN(MAX($F$10:$F$511)+1)*100</f>
        <v>18.063434396950068</v>
      </c>
      <c r="S455" s="29">
        <f>IF(H455=0,0,(K455*0.5+L455*0.5)*100)</f>
        <v>0</v>
      </c>
      <c r="T455" s="29">
        <f>IF(M455="",0,MIN(100,M455/MAX($M$10:$M$511)*100))</f>
        <v>2.6720106880427523E-2</v>
      </c>
      <c r="U455" s="29">
        <f>MIN(100,IF(O455="Yes",50,0)+IF(N455="Yes",30,0)+IF(P455="Yes",20,0))</f>
        <v>0</v>
      </c>
      <c r="V455" s="30">
        <f>ROUND(U455*$C$3+S455*$C$4+T455*$C$5+R455*$C$6,1)</f>
        <v>2.7</v>
      </c>
      <c r="W455" s="9" t="s">
        <v>738</v>
      </c>
    </row>
    <row r="456" spans="1:23" ht="32.25" customHeight="1" x14ac:dyDescent="0.2">
      <c r="A456" s="23">
        <v>462</v>
      </c>
      <c r="B456" s="9" t="s">
        <v>476</v>
      </c>
      <c r="C456" s="9" t="s">
        <v>816</v>
      </c>
      <c r="D456" s="9" t="s">
        <v>478</v>
      </c>
      <c r="E456" s="9" t="s">
        <v>538</v>
      </c>
      <c r="F456" s="24">
        <v>4</v>
      </c>
      <c r="G456" s="24">
        <v>1998</v>
      </c>
      <c r="H456" s="24">
        <v>4</v>
      </c>
      <c r="I456" s="25">
        <v>4.5</v>
      </c>
      <c r="J456" s="25">
        <v>4.7</v>
      </c>
      <c r="K456" s="26">
        <v>0</v>
      </c>
      <c r="L456" s="26">
        <v>0</v>
      </c>
      <c r="M456" s="24">
        <v>10</v>
      </c>
      <c r="N456" s="31"/>
      <c r="O456" s="28" t="s">
        <v>345</v>
      </c>
      <c r="P456" s="28"/>
      <c r="Q456" s="28" t="s">
        <v>345</v>
      </c>
      <c r="R456" s="29">
        <f>LN(F456+1)/LN(MAX($F$10:$F$511)+1)*100</f>
        <v>16.225378822606551</v>
      </c>
      <c r="S456" s="29">
        <f>IF(H456=0,0,(K456*0.5+L456*0.5)*100)</f>
        <v>0</v>
      </c>
      <c r="T456" s="29">
        <f>IF(M456="",0,MIN(100,M456/MAX($M$10:$M$511)*100))</f>
        <v>0.13360053440213762</v>
      </c>
      <c r="U456" s="29">
        <f>MIN(100,IF(O456="Yes",50,0)+IF(N456="Yes",30,0)+IF(P456="Yes",20,0))</f>
        <v>0</v>
      </c>
      <c r="V456" s="30">
        <f>ROUND(U456*$C$3+S456*$C$4+T456*$C$5+R456*$C$6,1)</f>
        <v>2.5</v>
      </c>
      <c r="W456" s="9" t="s">
        <v>597</v>
      </c>
    </row>
    <row r="457" spans="1:23" ht="32.25" customHeight="1" x14ac:dyDescent="0.2">
      <c r="A457" s="23">
        <v>463</v>
      </c>
      <c r="B457" s="9" t="s">
        <v>416</v>
      </c>
      <c r="C457" s="9" t="s">
        <v>922</v>
      </c>
      <c r="D457" s="9" t="s">
        <v>923</v>
      </c>
      <c r="E457" s="9" t="s">
        <v>893</v>
      </c>
      <c r="F457" s="24">
        <v>3</v>
      </c>
      <c r="G457" s="24">
        <v>11</v>
      </c>
      <c r="H457" s="24">
        <v>3</v>
      </c>
      <c r="I457" s="25">
        <v>49.1</v>
      </c>
      <c r="J457" s="25">
        <v>47.4</v>
      </c>
      <c r="K457" s="26">
        <v>0</v>
      </c>
      <c r="L457" s="26">
        <v>0</v>
      </c>
      <c r="M457" s="24">
        <v>110</v>
      </c>
      <c r="N457" s="31"/>
      <c r="O457" s="28" t="s">
        <v>345</v>
      </c>
      <c r="P457" s="28"/>
      <c r="Q457" s="28" t="s">
        <v>345</v>
      </c>
      <c r="R457" s="29">
        <f>LN(F457+1)/LN(MAX($F$10:$F$511)+1)*100</f>
        <v>13.975780609514226</v>
      </c>
      <c r="S457" s="29">
        <f>IF(H457=0,0,(K457*0.5+L457*0.5)*100)</f>
        <v>0</v>
      </c>
      <c r="T457" s="29">
        <f>IF(M457="",0,MIN(100,M457/MAX($M$10:$M$511)*100))</f>
        <v>1.4696058784235138</v>
      </c>
      <c r="U457" s="29">
        <f>MIN(100,IF(O457="Yes",50,0)+IF(N457="Yes",30,0)+IF(P457="Yes",20,0))</f>
        <v>0</v>
      </c>
      <c r="V457" s="30">
        <f>ROUND(U457*$C$3+S457*$C$4+T457*$C$5+R457*$C$6,1)</f>
        <v>2.5</v>
      </c>
      <c r="W457" s="9" t="s">
        <v>597</v>
      </c>
    </row>
    <row r="458" spans="1:23" ht="32.25" customHeight="1" x14ac:dyDescent="0.2">
      <c r="A458" s="23">
        <v>168</v>
      </c>
      <c r="B458" s="9" t="s">
        <v>416</v>
      </c>
      <c r="C458" s="9" t="s">
        <v>633</v>
      </c>
      <c r="D458" s="9" t="s">
        <v>218</v>
      </c>
      <c r="E458" s="9" t="s">
        <v>634</v>
      </c>
      <c r="F458" s="24">
        <v>4</v>
      </c>
      <c r="G458" s="27"/>
      <c r="H458" s="24">
        <v>4</v>
      </c>
      <c r="I458" s="25">
        <v>0.1</v>
      </c>
      <c r="J458" s="25">
        <v>14.8</v>
      </c>
      <c r="K458" s="26">
        <v>0</v>
      </c>
      <c r="L458" s="26">
        <v>0</v>
      </c>
      <c r="M458" s="27"/>
      <c r="N458" s="31"/>
      <c r="O458" s="28" t="s">
        <v>345</v>
      </c>
      <c r="P458" s="28"/>
      <c r="Q458" s="28" t="s">
        <v>345</v>
      </c>
      <c r="R458" s="29">
        <f>LN(F458+1)/LN(MAX($F$10:$F$511)+1)*100</f>
        <v>16.225378822606551</v>
      </c>
      <c r="S458" s="29">
        <f>IF(H458=0,0,(K458*0.5+L458*0.5)*100)</f>
        <v>0</v>
      </c>
      <c r="T458" s="29">
        <f>IF(M458="",0,MIN(100,M458/MAX($M$10:$M$511)*100))</f>
        <v>0</v>
      </c>
      <c r="U458" s="29">
        <f>MIN(100,IF(O458="Yes",50,0)+IF(N458="Yes",30,0)+IF(P458="Yes",20,0))</f>
        <v>0</v>
      </c>
      <c r="V458" s="30">
        <f>ROUND(U458*$C$3+S458*$C$4+T458*$C$5+R458*$C$6,1)</f>
        <v>2.4</v>
      </c>
      <c r="W458" s="9" t="s">
        <v>635</v>
      </c>
    </row>
    <row r="459" spans="1:23" ht="32.25" customHeight="1" x14ac:dyDescent="0.2">
      <c r="A459" s="23">
        <v>464</v>
      </c>
      <c r="B459" s="9" t="s">
        <v>384</v>
      </c>
      <c r="C459" s="9" t="s">
        <v>924</v>
      </c>
      <c r="D459" s="9" t="s">
        <v>862</v>
      </c>
      <c r="E459" s="9" t="s">
        <v>657</v>
      </c>
      <c r="F459" s="24">
        <v>3</v>
      </c>
      <c r="G459" s="24">
        <v>7</v>
      </c>
      <c r="H459" s="24">
        <v>3</v>
      </c>
      <c r="I459" s="25">
        <v>14.9</v>
      </c>
      <c r="J459" s="25">
        <v>29.4</v>
      </c>
      <c r="K459" s="26">
        <v>0</v>
      </c>
      <c r="L459" s="26">
        <v>0</v>
      </c>
      <c r="M459" s="24">
        <v>48</v>
      </c>
      <c r="N459" s="31"/>
      <c r="O459" s="28" t="s">
        <v>345</v>
      </c>
      <c r="P459" s="28"/>
      <c r="Q459" s="28" t="s">
        <v>345</v>
      </c>
      <c r="R459" s="29">
        <f>LN(F459+1)/LN(MAX($F$10:$F$511)+1)*100</f>
        <v>13.975780609514226</v>
      </c>
      <c r="S459" s="29">
        <f>IF(H459=0,0,(K459*0.5+L459*0.5)*100)</f>
        <v>0</v>
      </c>
      <c r="T459" s="29">
        <f>IF(M459="",0,MIN(100,M459/MAX($M$10:$M$511)*100))</f>
        <v>0.6412825651302605</v>
      </c>
      <c r="U459" s="29">
        <f>MIN(100,IF(O459="Yes",50,0)+IF(N459="Yes",30,0)+IF(P459="Yes",20,0))</f>
        <v>0</v>
      </c>
      <c r="V459" s="30">
        <f>ROUND(U459*$C$3+S459*$C$4+T459*$C$5+R459*$C$6,1)</f>
        <v>2.2999999999999998</v>
      </c>
      <c r="W459" s="9" t="s">
        <v>597</v>
      </c>
    </row>
    <row r="460" spans="1:23" ht="21.75" customHeight="1" x14ac:dyDescent="0.2">
      <c r="A460" s="23">
        <v>465</v>
      </c>
      <c r="B460" s="9" t="s">
        <v>185</v>
      </c>
      <c r="C460" s="9" t="s">
        <v>925</v>
      </c>
      <c r="D460" s="9" t="s">
        <v>926</v>
      </c>
      <c r="E460" s="9" t="s">
        <v>570</v>
      </c>
      <c r="F460" s="24">
        <v>3</v>
      </c>
      <c r="G460" s="24">
        <v>3</v>
      </c>
      <c r="H460" s="24">
        <v>3</v>
      </c>
      <c r="I460" s="25">
        <v>0</v>
      </c>
      <c r="J460" s="25">
        <v>0.2</v>
      </c>
      <c r="K460" s="26">
        <v>0</v>
      </c>
      <c r="L460" s="26">
        <v>0</v>
      </c>
      <c r="M460" s="24">
        <v>34</v>
      </c>
      <c r="N460" s="31"/>
      <c r="O460" s="28" t="s">
        <v>345</v>
      </c>
      <c r="P460" s="28"/>
      <c r="Q460" s="28" t="s">
        <v>345</v>
      </c>
      <c r="R460" s="29">
        <f>LN(F460+1)/LN(MAX($F$10:$F$511)+1)*100</f>
        <v>13.975780609514226</v>
      </c>
      <c r="S460" s="29">
        <f>IF(H460=0,0,(K460*0.5+L460*0.5)*100)</f>
        <v>0</v>
      </c>
      <c r="T460" s="29">
        <f>IF(M460="",0,MIN(100,M460/MAX($M$10:$M$511)*100))</f>
        <v>0.4542418169672679</v>
      </c>
      <c r="U460" s="29">
        <f>MIN(100,IF(O460="Yes",50,0)+IF(N460="Yes",30,0)+IF(P460="Yes",20,0))</f>
        <v>0</v>
      </c>
      <c r="V460" s="30">
        <f>ROUND(U460*$C$3+S460*$C$4+T460*$C$5+R460*$C$6,1)</f>
        <v>2.2000000000000002</v>
      </c>
      <c r="W460" s="9" t="s">
        <v>597</v>
      </c>
    </row>
    <row r="461" spans="1:23" ht="15" customHeight="1" x14ac:dyDescent="0.2">
      <c r="A461" s="23">
        <v>466</v>
      </c>
      <c r="B461" s="9" t="s">
        <v>510</v>
      </c>
      <c r="C461" s="9" t="s">
        <v>927</v>
      </c>
      <c r="D461" s="9"/>
      <c r="E461" s="9" t="s">
        <v>512</v>
      </c>
      <c r="F461" s="24">
        <v>3</v>
      </c>
      <c r="G461" s="24">
        <v>5</v>
      </c>
      <c r="H461" s="24">
        <v>3</v>
      </c>
      <c r="I461" s="25">
        <v>19.100000000000001</v>
      </c>
      <c r="J461" s="25">
        <v>24.7</v>
      </c>
      <c r="K461" s="26">
        <v>0</v>
      </c>
      <c r="L461" s="26">
        <v>0</v>
      </c>
      <c r="M461" s="24">
        <v>21</v>
      </c>
      <c r="N461" s="31"/>
      <c r="O461" s="28" t="s">
        <v>345</v>
      </c>
      <c r="P461" s="28"/>
      <c r="Q461" s="28" t="s">
        <v>345</v>
      </c>
      <c r="R461" s="29">
        <f>LN(F461+1)/LN(MAX($F$10:$F$511)+1)*100</f>
        <v>13.975780609514226</v>
      </c>
      <c r="S461" s="29">
        <f>IF(H461=0,0,(K461*0.5+L461*0.5)*100)</f>
        <v>0</v>
      </c>
      <c r="T461" s="29">
        <f>IF(M461="",0,MIN(100,M461/MAX($M$10:$M$511)*100))</f>
        <v>0.28056112224448898</v>
      </c>
      <c r="U461" s="29">
        <f>MIN(100,IF(O461="Yes",50,0)+IF(N461="Yes",30,0)+IF(P461="Yes",20,0))</f>
        <v>0</v>
      </c>
      <c r="V461" s="30">
        <f>ROUND(U461*$C$3+S461*$C$4+T461*$C$5+R461*$C$6,1)</f>
        <v>2.2000000000000002</v>
      </c>
      <c r="W461" s="9" t="s">
        <v>781</v>
      </c>
    </row>
    <row r="462" spans="1:23" ht="42.75" customHeight="1" x14ac:dyDescent="0.2">
      <c r="A462" s="23">
        <v>175</v>
      </c>
      <c r="B462" s="9" t="s">
        <v>280</v>
      </c>
      <c r="C462" s="9" t="s">
        <v>642</v>
      </c>
      <c r="D462" s="9" t="s">
        <v>534</v>
      </c>
      <c r="E462" s="9" t="s">
        <v>535</v>
      </c>
      <c r="F462" s="24">
        <v>3</v>
      </c>
      <c r="G462" s="24">
        <v>4</v>
      </c>
      <c r="H462" s="24">
        <v>3</v>
      </c>
      <c r="I462" s="25">
        <v>25</v>
      </c>
      <c r="J462" s="25">
        <v>26.3</v>
      </c>
      <c r="K462" s="26">
        <v>0</v>
      </c>
      <c r="L462" s="26">
        <v>0</v>
      </c>
      <c r="M462" s="27"/>
      <c r="N462" s="31"/>
      <c r="O462" s="28" t="s">
        <v>345</v>
      </c>
      <c r="P462" s="28"/>
      <c r="Q462" s="28" t="s">
        <v>345</v>
      </c>
      <c r="R462" s="29">
        <f>LN(F462+1)/LN(MAX($F$10:$F$511)+1)*100</f>
        <v>13.975780609514226</v>
      </c>
      <c r="S462" s="29">
        <f>IF(H462=0,0,(K462*0.5+L462*0.5)*100)</f>
        <v>0</v>
      </c>
      <c r="T462" s="29">
        <f>IF(M462="",0,MIN(100,M462/MAX($M$10:$M$511)*100))</f>
        <v>0</v>
      </c>
      <c r="U462" s="29">
        <f>MIN(100,IF(O462="Yes",50,0)+IF(N462="Yes",30,0)+IF(P462="Yes",20,0))</f>
        <v>0</v>
      </c>
      <c r="V462" s="30">
        <f>ROUND(U462*$C$3+S462*$C$4+T462*$C$5+R462*$C$6,1)</f>
        <v>2.1</v>
      </c>
      <c r="W462" s="9" t="s">
        <v>419</v>
      </c>
    </row>
    <row r="463" spans="1:23" ht="21.75" customHeight="1" x14ac:dyDescent="0.2">
      <c r="A463" s="23">
        <v>176</v>
      </c>
      <c r="B463" s="9" t="s">
        <v>476</v>
      </c>
      <c r="C463" s="9" t="s">
        <v>643</v>
      </c>
      <c r="D463" s="9" t="s">
        <v>629</v>
      </c>
      <c r="E463" s="9" t="s">
        <v>544</v>
      </c>
      <c r="F463" s="24">
        <v>3</v>
      </c>
      <c r="G463" s="24">
        <v>1</v>
      </c>
      <c r="H463" s="24">
        <v>3</v>
      </c>
      <c r="I463" s="25">
        <v>4</v>
      </c>
      <c r="J463" s="25">
        <v>5.5</v>
      </c>
      <c r="K463" s="26">
        <v>0</v>
      </c>
      <c r="L463" s="26">
        <v>0</v>
      </c>
      <c r="M463" s="27"/>
      <c r="N463" s="31"/>
      <c r="O463" s="28" t="s">
        <v>345</v>
      </c>
      <c r="P463" s="28"/>
      <c r="Q463" s="28" t="s">
        <v>345</v>
      </c>
      <c r="R463" s="29">
        <f>LN(F463+1)/LN(MAX($F$10:$F$511)+1)*100</f>
        <v>13.975780609514226</v>
      </c>
      <c r="S463" s="29">
        <f>IF(H463=0,0,(K463*0.5+L463*0.5)*100)</f>
        <v>0</v>
      </c>
      <c r="T463" s="29">
        <f>IF(M463="",0,MIN(100,M463/MAX($M$10:$M$511)*100))</f>
        <v>0</v>
      </c>
      <c r="U463" s="29">
        <f>MIN(100,IF(O463="Yes",50,0)+IF(N463="Yes",30,0)+IF(P463="Yes",20,0))</f>
        <v>0</v>
      </c>
      <c r="V463" s="30">
        <f>ROUND(U463*$C$3+S463*$C$4+T463*$C$5+R463*$C$6,1)</f>
        <v>2.1</v>
      </c>
      <c r="W463" s="9" t="s">
        <v>419</v>
      </c>
    </row>
    <row r="464" spans="1:23" ht="21.75" customHeight="1" x14ac:dyDescent="0.2">
      <c r="A464" s="23">
        <v>177</v>
      </c>
      <c r="B464" s="9" t="s">
        <v>351</v>
      </c>
      <c r="C464" s="9" t="s">
        <v>644</v>
      </c>
      <c r="D464" s="9"/>
      <c r="E464" s="9" t="s">
        <v>354</v>
      </c>
      <c r="F464" s="24">
        <v>3</v>
      </c>
      <c r="G464" s="24">
        <v>4</v>
      </c>
      <c r="H464" s="24">
        <v>3</v>
      </c>
      <c r="I464" s="25">
        <v>0.1</v>
      </c>
      <c r="J464" s="25">
        <v>17.100000000000001</v>
      </c>
      <c r="K464" s="26">
        <v>0</v>
      </c>
      <c r="L464" s="26">
        <v>0</v>
      </c>
      <c r="M464" s="27"/>
      <c r="N464" s="31"/>
      <c r="O464" s="28" t="s">
        <v>345</v>
      </c>
      <c r="P464" s="28"/>
      <c r="Q464" s="28" t="s">
        <v>345</v>
      </c>
      <c r="R464" s="29">
        <f>LN(F464+1)/LN(MAX($F$10:$F$511)+1)*100</f>
        <v>13.975780609514226</v>
      </c>
      <c r="S464" s="29">
        <f>IF(H464=0,0,(K464*0.5+L464*0.5)*100)</f>
        <v>0</v>
      </c>
      <c r="T464" s="29">
        <f>IF(M464="",0,MIN(100,M464/MAX($M$10:$M$511)*100))</f>
        <v>0</v>
      </c>
      <c r="U464" s="29">
        <f>MIN(100,IF(O464="Yes",50,0)+IF(N464="Yes",30,0)+IF(P464="Yes",20,0))</f>
        <v>0</v>
      </c>
      <c r="V464" s="30">
        <f>ROUND(U464*$C$3+S464*$C$4+T464*$C$5+R464*$C$6,1)</f>
        <v>2.1</v>
      </c>
      <c r="W464" s="9" t="s">
        <v>531</v>
      </c>
    </row>
    <row r="465" spans="1:23" ht="21.75" customHeight="1" x14ac:dyDescent="0.2">
      <c r="A465" s="23">
        <v>467</v>
      </c>
      <c r="B465" s="9" t="s">
        <v>366</v>
      </c>
      <c r="C465" s="9" t="s">
        <v>793</v>
      </c>
      <c r="D465" s="9" t="s">
        <v>798</v>
      </c>
      <c r="E465" s="9" t="s">
        <v>369</v>
      </c>
      <c r="F465" s="24">
        <v>2</v>
      </c>
      <c r="G465" s="24">
        <v>81</v>
      </c>
      <c r="H465" s="24">
        <v>2</v>
      </c>
      <c r="I465" s="25">
        <v>59.4</v>
      </c>
      <c r="J465" s="25">
        <v>59.4</v>
      </c>
      <c r="K465" s="26">
        <v>0</v>
      </c>
      <c r="L465" s="26">
        <v>0</v>
      </c>
      <c r="M465" s="24">
        <v>144</v>
      </c>
      <c r="N465" s="31"/>
      <c r="O465" s="28" t="s">
        <v>345</v>
      </c>
      <c r="P465" s="28"/>
      <c r="Q465" s="28" t="s">
        <v>345</v>
      </c>
      <c r="R465" s="29">
        <f>LN(F465+1)/LN(MAX($F$10:$F$511)+1)*100</f>
        <v>11.075544092192956</v>
      </c>
      <c r="S465" s="29">
        <f>IF(H465=0,0,(K465*0.5+L465*0.5)*100)</f>
        <v>0</v>
      </c>
      <c r="T465" s="29">
        <f>IF(M465="",0,MIN(100,M465/MAX($M$10:$M$511)*100))</f>
        <v>1.9238476953907815</v>
      </c>
      <c r="U465" s="29">
        <f>MIN(100,IF(O465="Yes",50,0)+IF(N465="Yes",30,0)+IF(P465="Yes",20,0))</f>
        <v>0</v>
      </c>
      <c r="V465" s="30">
        <f>ROUND(U465*$C$3+S465*$C$4+T465*$C$5+R465*$C$6,1)</f>
        <v>2.1</v>
      </c>
      <c r="W465" s="9" t="s">
        <v>597</v>
      </c>
    </row>
    <row r="466" spans="1:23" ht="21.75" customHeight="1" x14ac:dyDescent="0.2">
      <c r="A466" s="23">
        <v>468</v>
      </c>
      <c r="B466" s="9" t="s">
        <v>366</v>
      </c>
      <c r="C466" s="9" t="s">
        <v>793</v>
      </c>
      <c r="D466" s="9" t="s">
        <v>928</v>
      </c>
      <c r="E466" s="9" t="s">
        <v>369</v>
      </c>
      <c r="F466" s="24">
        <v>2</v>
      </c>
      <c r="G466" s="24">
        <v>81</v>
      </c>
      <c r="H466" s="24">
        <v>2</v>
      </c>
      <c r="I466" s="25">
        <v>35.9</v>
      </c>
      <c r="J466" s="25">
        <v>35.9</v>
      </c>
      <c r="K466" s="26">
        <v>0</v>
      </c>
      <c r="L466" s="26">
        <v>0</v>
      </c>
      <c r="M466" s="24">
        <v>144</v>
      </c>
      <c r="N466" s="31"/>
      <c r="O466" s="28" t="s">
        <v>345</v>
      </c>
      <c r="P466" s="28"/>
      <c r="Q466" s="28" t="s">
        <v>345</v>
      </c>
      <c r="R466" s="29">
        <f>LN(F466+1)/LN(MAX($F$10:$F$511)+1)*100</f>
        <v>11.075544092192956</v>
      </c>
      <c r="S466" s="29">
        <f>IF(H466=0,0,(K466*0.5+L466*0.5)*100)</f>
        <v>0</v>
      </c>
      <c r="T466" s="29">
        <f>IF(M466="",0,MIN(100,M466/MAX($M$10:$M$511)*100))</f>
        <v>1.9238476953907815</v>
      </c>
      <c r="U466" s="29">
        <f>MIN(100,IF(O466="Yes",50,0)+IF(N466="Yes",30,0)+IF(P466="Yes",20,0))</f>
        <v>0</v>
      </c>
      <c r="V466" s="30">
        <f>ROUND(U466*$C$3+S466*$C$4+T466*$C$5+R466*$C$6,1)</f>
        <v>2.1</v>
      </c>
      <c r="W466" s="9" t="s">
        <v>597</v>
      </c>
    </row>
    <row r="467" spans="1:23" ht="21.75" customHeight="1" x14ac:dyDescent="0.2">
      <c r="A467" s="23">
        <v>469</v>
      </c>
      <c r="B467" s="9" t="s">
        <v>384</v>
      </c>
      <c r="C467" s="9" t="s">
        <v>761</v>
      </c>
      <c r="D467" s="9" t="s">
        <v>929</v>
      </c>
      <c r="E467" s="9" t="s">
        <v>657</v>
      </c>
      <c r="F467" s="24">
        <v>1</v>
      </c>
      <c r="G467" s="24">
        <v>128</v>
      </c>
      <c r="H467" s="24">
        <v>1</v>
      </c>
      <c r="I467" s="25">
        <v>76.099999999999994</v>
      </c>
      <c r="J467" s="25">
        <v>76.099999999999994</v>
      </c>
      <c r="K467" s="26">
        <v>0</v>
      </c>
      <c r="L467" s="26">
        <v>0</v>
      </c>
      <c r="M467" s="24">
        <v>302</v>
      </c>
      <c r="N467" s="31"/>
      <c r="O467" s="28" t="s">
        <v>345</v>
      </c>
      <c r="P467" s="28"/>
      <c r="Q467" s="28" t="s">
        <v>345</v>
      </c>
      <c r="R467" s="29">
        <f>LN(F467+1)/LN(MAX($F$10:$F$511)+1)*100</f>
        <v>6.987890304757113</v>
      </c>
      <c r="S467" s="29">
        <f>IF(H467=0,0,(K467*0.5+L467*0.5)*100)</f>
        <v>0</v>
      </c>
      <c r="T467" s="29">
        <f>IF(M467="",0,MIN(100,M467/MAX($M$10:$M$511)*100))</f>
        <v>4.034736138944556</v>
      </c>
      <c r="U467" s="29">
        <f>MIN(100,IF(O467="Yes",50,0)+IF(N467="Yes",30,0)+IF(P467="Yes",20,0))</f>
        <v>0</v>
      </c>
      <c r="V467" s="30">
        <f>ROUND(U467*$C$3+S467*$C$4+T467*$C$5+R467*$C$6,1)</f>
        <v>2.1</v>
      </c>
      <c r="W467" s="9" t="s">
        <v>597</v>
      </c>
    </row>
    <row r="468" spans="1:23" ht="32.25" customHeight="1" x14ac:dyDescent="0.2">
      <c r="A468" s="23">
        <v>470</v>
      </c>
      <c r="B468" s="9" t="s">
        <v>384</v>
      </c>
      <c r="C468" s="9" t="s">
        <v>761</v>
      </c>
      <c r="D468" s="9" t="s">
        <v>930</v>
      </c>
      <c r="E468" s="9" t="s">
        <v>657</v>
      </c>
      <c r="F468" s="24">
        <v>1</v>
      </c>
      <c r="G468" s="24">
        <v>128</v>
      </c>
      <c r="H468" s="24">
        <v>1</v>
      </c>
      <c r="I468" s="25">
        <v>68.099999999999994</v>
      </c>
      <c r="J468" s="25">
        <v>68.099999999999994</v>
      </c>
      <c r="K468" s="26">
        <v>0</v>
      </c>
      <c r="L468" s="26">
        <v>0</v>
      </c>
      <c r="M468" s="24">
        <v>302</v>
      </c>
      <c r="N468" s="31"/>
      <c r="O468" s="28" t="s">
        <v>345</v>
      </c>
      <c r="P468" s="28"/>
      <c r="Q468" s="28" t="s">
        <v>345</v>
      </c>
      <c r="R468" s="29">
        <f>LN(F468+1)/LN(MAX($F$10:$F$511)+1)*100</f>
        <v>6.987890304757113</v>
      </c>
      <c r="S468" s="29">
        <f>IF(H468=0,0,(K468*0.5+L468*0.5)*100)</f>
        <v>0</v>
      </c>
      <c r="T468" s="29">
        <f>IF(M468="",0,MIN(100,M468/MAX($M$10:$M$511)*100))</f>
        <v>4.034736138944556</v>
      </c>
      <c r="U468" s="29">
        <f>MIN(100,IF(O468="Yes",50,0)+IF(N468="Yes",30,0)+IF(P468="Yes",20,0))</f>
        <v>0</v>
      </c>
      <c r="V468" s="30">
        <f>ROUND(U468*$C$3+S468*$C$4+T468*$C$5+R468*$C$6,1)</f>
        <v>2.1</v>
      </c>
      <c r="W468" s="9" t="s">
        <v>597</v>
      </c>
    </row>
    <row r="469" spans="1:23" ht="32.25" customHeight="1" x14ac:dyDescent="0.2">
      <c r="A469" s="23">
        <v>471</v>
      </c>
      <c r="B469" s="9" t="s">
        <v>384</v>
      </c>
      <c r="C469" s="9" t="s">
        <v>655</v>
      </c>
      <c r="D469" s="9" t="s">
        <v>931</v>
      </c>
      <c r="E469" s="9" t="s">
        <v>657</v>
      </c>
      <c r="F469" s="24">
        <v>2</v>
      </c>
      <c r="G469" s="24">
        <v>67</v>
      </c>
      <c r="H469" s="24">
        <v>2</v>
      </c>
      <c r="I469" s="25">
        <v>25.5</v>
      </c>
      <c r="J469" s="25">
        <v>25.5</v>
      </c>
      <c r="K469" s="26">
        <v>0</v>
      </c>
      <c r="L469" s="26">
        <v>0</v>
      </c>
      <c r="M469" s="24">
        <v>108</v>
      </c>
      <c r="N469" s="31"/>
      <c r="O469" s="28" t="s">
        <v>345</v>
      </c>
      <c r="P469" s="28"/>
      <c r="Q469" s="28" t="s">
        <v>345</v>
      </c>
      <c r="R469" s="29">
        <f>LN(F469+1)/LN(MAX($F$10:$F$511)+1)*100</f>
        <v>11.075544092192956</v>
      </c>
      <c r="S469" s="29">
        <f>IF(H469=0,0,(K469*0.5+L469*0.5)*100)</f>
        <v>0</v>
      </c>
      <c r="T469" s="29">
        <f>IF(M469="",0,MIN(100,M469/MAX($M$10:$M$511)*100))</f>
        <v>1.4428857715430863</v>
      </c>
      <c r="U469" s="29">
        <f>MIN(100,IF(O469="Yes",50,0)+IF(N469="Yes",30,0)+IF(P469="Yes",20,0))</f>
        <v>0</v>
      </c>
      <c r="V469" s="30">
        <f>ROUND(U469*$C$3+S469*$C$4+T469*$C$5+R469*$C$6,1)</f>
        <v>2</v>
      </c>
      <c r="W469" s="9" t="s">
        <v>597</v>
      </c>
    </row>
    <row r="470" spans="1:23" ht="32.25" customHeight="1" x14ac:dyDescent="0.2">
      <c r="A470" s="23">
        <v>472</v>
      </c>
      <c r="B470" s="9" t="s">
        <v>384</v>
      </c>
      <c r="C470" s="9" t="s">
        <v>655</v>
      </c>
      <c r="D470" s="9" t="s">
        <v>903</v>
      </c>
      <c r="E470" s="9" t="s">
        <v>657</v>
      </c>
      <c r="F470" s="24">
        <v>2</v>
      </c>
      <c r="G470" s="24">
        <v>67</v>
      </c>
      <c r="H470" s="24">
        <v>2</v>
      </c>
      <c r="I470" s="25">
        <v>21.7</v>
      </c>
      <c r="J470" s="25">
        <v>21.7</v>
      </c>
      <c r="K470" s="26">
        <v>0</v>
      </c>
      <c r="L470" s="26">
        <v>0</v>
      </c>
      <c r="M470" s="24">
        <v>108</v>
      </c>
      <c r="N470" s="31"/>
      <c r="O470" s="28" t="s">
        <v>345</v>
      </c>
      <c r="P470" s="28"/>
      <c r="Q470" s="28" t="s">
        <v>345</v>
      </c>
      <c r="R470" s="29">
        <f>LN(F470+1)/LN(MAX($F$10:$F$511)+1)*100</f>
        <v>11.075544092192956</v>
      </c>
      <c r="S470" s="29">
        <f>IF(H470=0,0,(K470*0.5+L470*0.5)*100)</f>
        <v>0</v>
      </c>
      <c r="T470" s="29">
        <f>IF(M470="",0,MIN(100,M470/MAX($M$10:$M$511)*100))</f>
        <v>1.4428857715430863</v>
      </c>
      <c r="U470" s="29">
        <f>MIN(100,IF(O470="Yes",50,0)+IF(N470="Yes",30,0)+IF(P470="Yes",20,0))</f>
        <v>0</v>
      </c>
      <c r="V470" s="30">
        <f>ROUND(U470*$C$3+S470*$C$4+T470*$C$5+R470*$C$6,1)</f>
        <v>2</v>
      </c>
      <c r="W470" s="9" t="s">
        <v>597</v>
      </c>
    </row>
    <row r="471" spans="1:23" ht="21.75" customHeight="1" x14ac:dyDescent="0.2">
      <c r="A471" s="23">
        <v>473</v>
      </c>
      <c r="B471" s="9" t="s">
        <v>384</v>
      </c>
      <c r="C471" s="9" t="s">
        <v>932</v>
      </c>
      <c r="D471" s="9"/>
      <c r="E471" s="9" t="s">
        <v>933</v>
      </c>
      <c r="F471" s="24">
        <v>2</v>
      </c>
      <c r="G471" s="24">
        <v>21</v>
      </c>
      <c r="H471" s="24">
        <v>2</v>
      </c>
      <c r="I471" s="25">
        <v>4.9000000000000004</v>
      </c>
      <c r="J471" s="25">
        <v>4.9000000000000004</v>
      </c>
      <c r="K471" s="26">
        <v>0</v>
      </c>
      <c r="L471" s="26">
        <v>0</v>
      </c>
      <c r="M471" s="24">
        <v>78</v>
      </c>
      <c r="N471" s="31"/>
      <c r="O471" s="28" t="s">
        <v>345</v>
      </c>
      <c r="P471" s="28"/>
      <c r="Q471" s="28" t="s">
        <v>345</v>
      </c>
      <c r="R471" s="29">
        <f>LN(F471+1)/LN(MAX($F$10:$F$511)+1)*100</f>
        <v>11.075544092192956</v>
      </c>
      <c r="S471" s="29">
        <f>IF(H471=0,0,(K471*0.5+L471*0.5)*100)</f>
        <v>0</v>
      </c>
      <c r="T471" s="29">
        <f>IF(M471="",0,MIN(100,M471/MAX($M$10:$M$511)*100))</f>
        <v>1.0420841683366733</v>
      </c>
      <c r="U471" s="29">
        <f>MIN(100,IF(O471="Yes",50,0)+IF(N471="Yes",30,0)+IF(P471="Yes",20,0))</f>
        <v>0</v>
      </c>
      <c r="V471" s="30">
        <f>ROUND(U471*$C$3+S471*$C$4+T471*$C$5+R471*$C$6,1)</f>
        <v>1.9</v>
      </c>
      <c r="W471" s="9" t="s">
        <v>781</v>
      </c>
    </row>
    <row r="472" spans="1:23" ht="32.25" customHeight="1" x14ac:dyDescent="0.2">
      <c r="A472" s="23">
        <v>474</v>
      </c>
      <c r="B472" s="9" t="s">
        <v>384</v>
      </c>
      <c r="C472" s="9" t="s">
        <v>924</v>
      </c>
      <c r="D472" s="9" t="s">
        <v>934</v>
      </c>
      <c r="E472" s="9" t="s">
        <v>657</v>
      </c>
      <c r="F472" s="24">
        <v>2</v>
      </c>
      <c r="G472" s="24">
        <v>7</v>
      </c>
      <c r="H472" s="24">
        <v>2</v>
      </c>
      <c r="I472" s="25">
        <v>7.9</v>
      </c>
      <c r="J472" s="25">
        <v>7.9</v>
      </c>
      <c r="K472" s="26">
        <v>0</v>
      </c>
      <c r="L472" s="26">
        <v>0</v>
      </c>
      <c r="M472" s="24">
        <v>48</v>
      </c>
      <c r="N472" s="31"/>
      <c r="O472" s="28" t="s">
        <v>345</v>
      </c>
      <c r="P472" s="28"/>
      <c r="Q472" s="28" t="s">
        <v>345</v>
      </c>
      <c r="R472" s="29">
        <f>LN(F472+1)/LN(MAX($F$10:$F$511)+1)*100</f>
        <v>11.075544092192956</v>
      </c>
      <c r="S472" s="29">
        <f>IF(H472=0,0,(K472*0.5+L472*0.5)*100)</f>
        <v>0</v>
      </c>
      <c r="T472" s="29">
        <f>IF(M472="",0,MIN(100,M472/MAX($M$10:$M$511)*100))</f>
        <v>0.6412825651302605</v>
      </c>
      <c r="U472" s="29">
        <f>MIN(100,IF(O472="Yes",50,0)+IF(N472="Yes",30,0)+IF(P472="Yes",20,0))</f>
        <v>0</v>
      </c>
      <c r="V472" s="30">
        <f>ROUND(U472*$C$3+S472*$C$4+T472*$C$5+R472*$C$6,1)</f>
        <v>1.8</v>
      </c>
      <c r="W472" s="9" t="s">
        <v>597</v>
      </c>
    </row>
    <row r="473" spans="1:23" ht="32.25" customHeight="1" x14ac:dyDescent="0.2">
      <c r="A473" s="23">
        <v>182</v>
      </c>
      <c r="B473" s="9" t="s">
        <v>372</v>
      </c>
      <c r="C473" s="9" t="s">
        <v>653</v>
      </c>
      <c r="D473" s="9"/>
      <c r="E473" s="9" t="s">
        <v>654</v>
      </c>
      <c r="F473" s="24">
        <v>2</v>
      </c>
      <c r="G473" s="24">
        <v>2</v>
      </c>
      <c r="H473" s="24">
        <v>2</v>
      </c>
      <c r="I473" s="25">
        <v>0</v>
      </c>
      <c r="J473" s="25">
        <v>0</v>
      </c>
      <c r="K473" s="26">
        <v>0</v>
      </c>
      <c r="L473" s="26">
        <v>0</v>
      </c>
      <c r="M473" s="27"/>
      <c r="N473" s="31"/>
      <c r="O473" s="28" t="s">
        <v>345</v>
      </c>
      <c r="P473" s="28"/>
      <c r="Q473" s="28" t="s">
        <v>345</v>
      </c>
      <c r="R473" s="29">
        <f>LN(F473+1)/LN(MAX($F$10:$F$511)+1)*100</f>
        <v>11.075544092192956</v>
      </c>
      <c r="S473" s="29">
        <f>IF(H473=0,0,(K473*0.5+L473*0.5)*100)</f>
        <v>0</v>
      </c>
      <c r="T473" s="29">
        <f>IF(M473="",0,MIN(100,M473/MAX($M$10:$M$511)*100))</f>
        <v>0</v>
      </c>
      <c r="U473" s="29">
        <f>MIN(100,IF(O473="Yes",50,0)+IF(N473="Yes",30,0)+IF(P473="Yes",20,0))</f>
        <v>0</v>
      </c>
      <c r="V473" s="30">
        <f>ROUND(U473*$C$3+S473*$C$4+T473*$C$5+R473*$C$6,1)</f>
        <v>1.7</v>
      </c>
      <c r="W473" s="9" t="s">
        <v>531</v>
      </c>
    </row>
    <row r="474" spans="1:23" ht="21.75" customHeight="1" x14ac:dyDescent="0.2">
      <c r="A474" s="23">
        <v>475</v>
      </c>
      <c r="B474" s="9" t="s">
        <v>416</v>
      </c>
      <c r="C474" s="9" t="s">
        <v>935</v>
      </c>
      <c r="D474" s="9" t="s">
        <v>195</v>
      </c>
      <c r="E474" s="9" t="s">
        <v>607</v>
      </c>
      <c r="F474" s="24">
        <v>2</v>
      </c>
      <c r="G474" s="24">
        <v>1</v>
      </c>
      <c r="H474" s="24">
        <v>2</v>
      </c>
      <c r="I474" s="25">
        <v>56.3</v>
      </c>
      <c r="J474" s="25">
        <v>56.3</v>
      </c>
      <c r="K474" s="26">
        <v>0</v>
      </c>
      <c r="L474" s="26">
        <v>0</v>
      </c>
      <c r="M474" s="24">
        <v>5</v>
      </c>
      <c r="N474" s="31"/>
      <c r="O474" s="28" t="s">
        <v>345</v>
      </c>
      <c r="P474" s="28"/>
      <c r="Q474" s="28" t="s">
        <v>345</v>
      </c>
      <c r="R474" s="29">
        <f>LN(F474+1)/LN(MAX($F$10:$F$511)+1)*100</f>
        <v>11.075544092192956</v>
      </c>
      <c r="S474" s="29">
        <f>IF(H474=0,0,(K474*0.5+L474*0.5)*100)</f>
        <v>0</v>
      </c>
      <c r="T474" s="29">
        <f>IF(M474="",0,MIN(100,M474/MAX($M$10:$M$511)*100))</f>
        <v>6.6800267201068811E-2</v>
      </c>
      <c r="U474" s="29">
        <f>MIN(100,IF(O474="Yes",50,0)+IF(N474="Yes",30,0)+IF(P474="Yes",20,0))</f>
        <v>0</v>
      </c>
      <c r="V474" s="30">
        <f>ROUND(U474*$C$3+S474*$C$4+T474*$C$5+R474*$C$6,1)</f>
        <v>1.7</v>
      </c>
      <c r="W474" s="9" t="s">
        <v>597</v>
      </c>
    </row>
    <row r="475" spans="1:23" ht="32.25" customHeight="1" x14ac:dyDescent="0.2">
      <c r="A475" s="23">
        <v>476</v>
      </c>
      <c r="B475" s="9" t="s">
        <v>384</v>
      </c>
      <c r="C475" s="9" t="s">
        <v>774</v>
      </c>
      <c r="D475" s="9" t="s">
        <v>446</v>
      </c>
      <c r="E475" s="9" t="s">
        <v>657</v>
      </c>
      <c r="F475" s="24">
        <v>2</v>
      </c>
      <c r="G475" s="24">
        <v>44</v>
      </c>
      <c r="H475" s="24">
        <v>2</v>
      </c>
      <c r="I475" s="25">
        <v>10.4</v>
      </c>
      <c r="J475" s="25">
        <v>10.4</v>
      </c>
      <c r="K475" s="26">
        <v>0</v>
      </c>
      <c r="L475" s="26">
        <v>0</v>
      </c>
      <c r="M475" s="24">
        <v>5</v>
      </c>
      <c r="N475" s="31"/>
      <c r="O475" s="28" t="s">
        <v>345</v>
      </c>
      <c r="P475" s="28"/>
      <c r="Q475" s="28" t="s">
        <v>345</v>
      </c>
      <c r="R475" s="29">
        <f>LN(F475+1)/LN(MAX($F$10:$F$511)+1)*100</f>
        <v>11.075544092192956</v>
      </c>
      <c r="S475" s="29">
        <f>IF(H475=0,0,(K475*0.5+L475*0.5)*100)</f>
        <v>0</v>
      </c>
      <c r="T475" s="29">
        <f>IF(M475="",0,MIN(100,M475/MAX($M$10:$M$511)*100))</f>
        <v>6.6800267201068811E-2</v>
      </c>
      <c r="U475" s="29">
        <f>MIN(100,IF(O475="Yes",50,0)+IF(N475="Yes",30,0)+IF(P475="Yes",20,0))</f>
        <v>0</v>
      </c>
      <c r="V475" s="30">
        <f>ROUND(U475*$C$3+S475*$C$4+T475*$C$5+R475*$C$6,1)</f>
        <v>1.7</v>
      </c>
      <c r="W475" s="9" t="s">
        <v>597</v>
      </c>
    </row>
    <row r="476" spans="1:23" ht="32.25" customHeight="1" x14ac:dyDescent="0.2">
      <c r="A476" s="23">
        <v>477</v>
      </c>
      <c r="B476" s="9" t="s">
        <v>384</v>
      </c>
      <c r="C476" s="9" t="s">
        <v>878</v>
      </c>
      <c r="D476" s="9" t="s">
        <v>895</v>
      </c>
      <c r="E476" s="9" t="s">
        <v>657</v>
      </c>
      <c r="F476" s="24">
        <v>2</v>
      </c>
      <c r="G476" s="24">
        <v>37</v>
      </c>
      <c r="H476" s="24">
        <v>2</v>
      </c>
      <c r="I476" s="25">
        <v>5.5</v>
      </c>
      <c r="J476" s="25">
        <v>5.5</v>
      </c>
      <c r="K476" s="26">
        <v>0</v>
      </c>
      <c r="L476" s="26">
        <v>0</v>
      </c>
      <c r="M476" s="24">
        <v>4</v>
      </c>
      <c r="N476" s="31"/>
      <c r="O476" s="28" t="s">
        <v>345</v>
      </c>
      <c r="P476" s="28"/>
      <c r="Q476" s="28" t="s">
        <v>345</v>
      </c>
      <c r="R476" s="29">
        <f>LN(F476+1)/LN(MAX($F$10:$F$511)+1)*100</f>
        <v>11.075544092192956</v>
      </c>
      <c r="S476" s="29">
        <f>IF(H476=0,0,(K476*0.5+L476*0.5)*100)</f>
        <v>0</v>
      </c>
      <c r="T476" s="29">
        <f>IF(M476="",0,MIN(100,M476/MAX($M$10:$M$511)*100))</f>
        <v>5.3440213760855046E-2</v>
      </c>
      <c r="U476" s="29">
        <f>MIN(100,IF(O476="Yes",50,0)+IF(N476="Yes",30,0)+IF(P476="Yes",20,0))</f>
        <v>0</v>
      </c>
      <c r="V476" s="30">
        <f>ROUND(U476*$C$3+S476*$C$4+T476*$C$5+R476*$C$6,1)</f>
        <v>1.7</v>
      </c>
      <c r="W476" s="9" t="s">
        <v>597</v>
      </c>
    </row>
    <row r="477" spans="1:23" ht="32.25" customHeight="1" x14ac:dyDescent="0.2">
      <c r="A477" s="23">
        <v>478</v>
      </c>
      <c r="B477" s="9" t="s">
        <v>384</v>
      </c>
      <c r="C477" s="9" t="s">
        <v>838</v>
      </c>
      <c r="D477" s="9" t="s">
        <v>895</v>
      </c>
      <c r="E477" s="9" t="s">
        <v>657</v>
      </c>
      <c r="F477" s="24">
        <v>2</v>
      </c>
      <c r="G477" s="24">
        <v>41</v>
      </c>
      <c r="H477" s="24">
        <v>2</v>
      </c>
      <c r="I477" s="25">
        <v>42.8</v>
      </c>
      <c r="J477" s="25">
        <v>42.8</v>
      </c>
      <c r="K477" s="26">
        <v>0</v>
      </c>
      <c r="L477" s="26">
        <v>0</v>
      </c>
      <c r="M477" s="24">
        <v>3</v>
      </c>
      <c r="N477" s="31"/>
      <c r="O477" s="28" t="s">
        <v>345</v>
      </c>
      <c r="P477" s="28"/>
      <c r="Q477" s="28" t="s">
        <v>345</v>
      </c>
      <c r="R477" s="29">
        <f>LN(F477+1)/LN(MAX($F$10:$F$511)+1)*100</f>
        <v>11.075544092192956</v>
      </c>
      <c r="S477" s="29">
        <f>IF(H477=0,0,(K477*0.5+L477*0.5)*100)</f>
        <v>0</v>
      </c>
      <c r="T477" s="29">
        <f>IF(M477="",0,MIN(100,M477/MAX($M$10:$M$511)*100))</f>
        <v>4.0080160320641281E-2</v>
      </c>
      <c r="U477" s="29">
        <f>MIN(100,IF(O477="Yes",50,0)+IF(N477="Yes",30,0)+IF(P477="Yes",20,0))</f>
        <v>0</v>
      </c>
      <c r="V477" s="30">
        <f>ROUND(U477*$C$3+S477*$C$4+T477*$C$5+R477*$C$6,1)</f>
        <v>1.7</v>
      </c>
      <c r="W477" s="9" t="s">
        <v>597</v>
      </c>
    </row>
    <row r="478" spans="1:23" ht="32.25" customHeight="1" x14ac:dyDescent="0.2">
      <c r="A478" s="23">
        <v>479</v>
      </c>
      <c r="B478" s="9" t="s">
        <v>384</v>
      </c>
      <c r="C478" s="9" t="s">
        <v>838</v>
      </c>
      <c r="D478" s="9" t="s">
        <v>434</v>
      </c>
      <c r="E478" s="9" t="s">
        <v>657</v>
      </c>
      <c r="F478" s="24">
        <v>2</v>
      </c>
      <c r="G478" s="24">
        <v>41</v>
      </c>
      <c r="H478" s="24">
        <v>2</v>
      </c>
      <c r="I478" s="25">
        <v>9</v>
      </c>
      <c r="J478" s="25">
        <v>9</v>
      </c>
      <c r="K478" s="26">
        <v>0</v>
      </c>
      <c r="L478" s="26">
        <v>0</v>
      </c>
      <c r="M478" s="24">
        <v>3</v>
      </c>
      <c r="N478" s="31"/>
      <c r="O478" s="28" t="s">
        <v>345</v>
      </c>
      <c r="P478" s="28"/>
      <c r="Q478" s="28" t="s">
        <v>345</v>
      </c>
      <c r="R478" s="29">
        <f>LN(F478+1)/LN(MAX($F$10:$F$511)+1)*100</f>
        <v>11.075544092192956</v>
      </c>
      <c r="S478" s="29">
        <f>IF(H478=0,0,(K478*0.5+L478*0.5)*100)</f>
        <v>0</v>
      </c>
      <c r="T478" s="29">
        <f>IF(M478="",0,MIN(100,M478/MAX($M$10:$M$511)*100))</f>
        <v>4.0080160320641281E-2</v>
      </c>
      <c r="U478" s="29">
        <f>MIN(100,IF(O478="Yes",50,0)+IF(N478="Yes",30,0)+IF(P478="Yes",20,0))</f>
        <v>0</v>
      </c>
      <c r="V478" s="30">
        <f>ROUND(U478*$C$3+S478*$C$4+T478*$C$5+R478*$C$6,1)</f>
        <v>1.7</v>
      </c>
      <c r="W478" s="9" t="s">
        <v>597</v>
      </c>
    </row>
    <row r="479" spans="1:23" ht="32.25" customHeight="1" x14ac:dyDescent="0.2">
      <c r="A479" s="23">
        <v>480</v>
      </c>
      <c r="B479" s="9" t="s">
        <v>280</v>
      </c>
      <c r="C479" s="9" t="s">
        <v>936</v>
      </c>
      <c r="D479" s="9" t="s">
        <v>587</v>
      </c>
      <c r="E479" s="9" t="s">
        <v>503</v>
      </c>
      <c r="F479" s="24">
        <v>2</v>
      </c>
      <c r="G479" s="24">
        <v>3</v>
      </c>
      <c r="H479" s="24">
        <v>2</v>
      </c>
      <c r="I479" s="25">
        <v>28.4</v>
      </c>
      <c r="J479" s="25">
        <v>28.4</v>
      </c>
      <c r="K479" s="26">
        <v>0</v>
      </c>
      <c r="L479" s="26">
        <v>0</v>
      </c>
      <c r="M479" s="24">
        <v>1</v>
      </c>
      <c r="N479" s="31"/>
      <c r="O479" s="28" t="s">
        <v>345</v>
      </c>
      <c r="P479" s="28"/>
      <c r="Q479" s="28" t="s">
        <v>345</v>
      </c>
      <c r="R479" s="29">
        <f>LN(F479+1)/LN(MAX($F$10:$F$511)+1)*100</f>
        <v>11.075544092192956</v>
      </c>
      <c r="S479" s="29">
        <f>IF(H479=0,0,(K479*0.5+L479*0.5)*100)</f>
        <v>0</v>
      </c>
      <c r="T479" s="29">
        <f>IF(M479="",0,MIN(100,M479/MAX($M$10:$M$511)*100))</f>
        <v>1.3360053440213761E-2</v>
      </c>
      <c r="U479" s="29">
        <f>MIN(100,IF(O479="Yes",50,0)+IF(N479="Yes",30,0)+IF(P479="Yes",20,0))</f>
        <v>0</v>
      </c>
      <c r="V479" s="30">
        <f>ROUND(U479*$C$3+S479*$C$4+T479*$C$5+R479*$C$6,1)</f>
        <v>1.7</v>
      </c>
      <c r="W479" s="9" t="s">
        <v>738</v>
      </c>
    </row>
    <row r="480" spans="1:23" ht="32.25" customHeight="1" x14ac:dyDescent="0.2">
      <c r="A480" s="23">
        <v>481</v>
      </c>
      <c r="B480" s="9" t="s">
        <v>366</v>
      </c>
      <c r="C480" s="9" t="s">
        <v>793</v>
      </c>
      <c r="D480" s="9" t="s">
        <v>608</v>
      </c>
      <c r="E480" s="9" t="s">
        <v>369</v>
      </c>
      <c r="F480" s="24">
        <v>1</v>
      </c>
      <c r="G480" s="24">
        <v>81</v>
      </c>
      <c r="H480" s="24">
        <v>1</v>
      </c>
      <c r="I480" s="25">
        <v>32</v>
      </c>
      <c r="J480" s="25">
        <v>32</v>
      </c>
      <c r="K480" s="26">
        <v>0</v>
      </c>
      <c r="L480" s="26">
        <v>0</v>
      </c>
      <c r="M480" s="24">
        <v>144</v>
      </c>
      <c r="N480" s="31"/>
      <c r="O480" s="28" t="s">
        <v>345</v>
      </c>
      <c r="P480" s="28"/>
      <c r="Q480" s="28" t="s">
        <v>345</v>
      </c>
      <c r="R480" s="29">
        <f>LN(F480+1)/LN(MAX($F$10:$F$511)+1)*100</f>
        <v>6.987890304757113</v>
      </c>
      <c r="S480" s="29">
        <f>IF(H480=0,0,(K480*0.5+L480*0.5)*100)</f>
        <v>0</v>
      </c>
      <c r="T480" s="29">
        <f>IF(M480="",0,MIN(100,M480/MAX($M$10:$M$511)*100))</f>
        <v>1.9238476953907815</v>
      </c>
      <c r="U480" s="29">
        <f>MIN(100,IF(O480="Yes",50,0)+IF(N480="Yes",30,0)+IF(P480="Yes",20,0))</f>
        <v>0</v>
      </c>
      <c r="V480" s="30">
        <f>ROUND(U480*$C$3+S480*$C$4+T480*$C$5+R480*$C$6,1)</f>
        <v>1.5</v>
      </c>
      <c r="W480" s="9" t="s">
        <v>597</v>
      </c>
    </row>
    <row r="481" spans="1:23" ht="32.25" customHeight="1" x14ac:dyDescent="0.2">
      <c r="A481" s="23">
        <v>482</v>
      </c>
      <c r="B481" s="9" t="s">
        <v>366</v>
      </c>
      <c r="C481" s="9" t="s">
        <v>793</v>
      </c>
      <c r="D481" s="9" t="s">
        <v>937</v>
      </c>
      <c r="E481" s="9" t="s">
        <v>369</v>
      </c>
      <c r="F481" s="24">
        <v>1</v>
      </c>
      <c r="G481" s="24">
        <v>81</v>
      </c>
      <c r="H481" s="24">
        <v>1</v>
      </c>
      <c r="I481" s="25">
        <v>18.399999999999999</v>
      </c>
      <c r="J481" s="25">
        <v>18.399999999999999</v>
      </c>
      <c r="K481" s="26">
        <v>0</v>
      </c>
      <c r="L481" s="26">
        <v>0</v>
      </c>
      <c r="M481" s="24">
        <v>144</v>
      </c>
      <c r="N481" s="31"/>
      <c r="O481" s="28" t="s">
        <v>345</v>
      </c>
      <c r="P481" s="28"/>
      <c r="Q481" s="28" t="s">
        <v>345</v>
      </c>
      <c r="R481" s="29">
        <f>LN(F481+1)/LN(MAX($F$10:$F$511)+1)*100</f>
        <v>6.987890304757113</v>
      </c>
      <c r="S481" s="29">
        <f>IF(H481=0,0,(K481*0.5+L481*0.5)*100)</f>
        <v>0</v>
      </c>
      <c r="T481" s="29">
        <f>IF(M481="",0,MIN(100,M481/MAX($M$10:$M$511)*100))</f>
        <v>1.9238476953907815</v>
      </c>
      <c r="U481" s="29">
        <f>MIN(100,IF(O481="Yes",50,0)+IF(N481="Yes",30,0)+IF(P481="Yes",20,0))</f>
        <v>0</v>
      </c>
      <c r="V481" s="30">
        <f>ROUND(U481*$C$3+S481*$C$4+T481*$C$5+R481*$C$6,1)</f>
        <v>1.5</v>
      </c>
      <c r="W481" s="9" t="s">
        <v>597</v>
      </c>
    </row>
    <row r="482" spans="1:23" ht="32.25" customHeight="1" x14ac:dyDescent="0.2">
      <c r="A482" s="23">
        <v>483</v>
      </c>
      <c r="B482" s="9" t="s">
        <v>366</v>
      </c>
      <c r="C482" s="9" t="s">
        <v>793</v>
      </c>
      <c r="D482" s="9" t="s">
        <v>938</v>
      </c>
      <c r="E482" s="9" t="s">
        <v>369</v>
      </c>
      <c r="F482" s="24">
        <v>1</v>
      </c>
      <c r="G482" s="24">
        <v>81</v>
      </c>
      <c r="H482" s="24">
        <v>1</v>
      </c>
      <c r="I482" s="25">
        <v>27.4</v>
      </c>
      <c r="J482" s="25">
        <v>27.4</v>
      </c>
      <c r="K482" s="26">
        <v>0</v>
      </c>
      <c r="L482" s="26">
        <v>0</v>
      </c>
      <c r="M482" s="24">
        <v>144</v>
      </c>
      <c r="N482" s="31"/>
      <c r="O482" s="28" t="s">
        <v>345</v>
      </c>
      <c r="P482" s="28"/>
      <c r="Q482" s="28" t="s">
        <v>345</v>
      </c>
      <c r="R482" s="29">
        <f>LN(F482+1)/LN(MAX($F$10:$F$511)+1)*100</f>
        <v>6.987890304757113</v>
      </c>
      <c r="S482" s="29">
        <f>IF(H482=0,0,(K482*0.5+L482*0.5)*100)</f>
        <v>0</v>
      </c>
      <c r="T482" s="29">
        <f>IF(M482="",0,MIN(100,M482/MAX($M$10:$M$511)*100))</f>
        <v>1.9238476953907815</v>
      </c>
      <c r="U482" s="29">
        <f>MIN(100,IF(O482="Yes",50,0)+IF(N482="Yes",30,0)+IF(P482="Yes",20,0))</f>
        <v>0</v>
      </c>
      <c r="V482" s="30">
        <f>ROUND(U482*$C$3+S482*$C$4+T482*$C$5+R482*$C$6,1)</f>
        <v>1.5</v>
      </c>
      <c r="W482" s="9" t="s">
        <v>597</v>
      </c>
    </row>
    <row r="483" spans="1:23" ht="32.25" customHeight="1" x14ac:dyDescent="0.2">
      <c r="A483" s="23">
        <v>484</v>
      </c>
      <c r="B483" s="9" t="s">
        <v>384</v>
      </c>
      <c r="C483" s="9" t="s">
        <v>429</v>
      </c>
      <c r="D483" s="9" t="s">
        <v>902</v>
      </c>
      <c r="E483" s="9" t="s">
        <v>657</v>
      </c>
      <c r="F483" s="24">
        <v>1</v>
      </c>
      <c r="G483" s="24">
        <v>57</v>
      </c>
      <c r="H483" s="24">
        <v>1</v>
      </c>
      <c r="I483" s="25">
        <v>0</v>
      </c>
      <c r="J483" s="25">
        <v>0</v>
      </c>
      <c r="K483" s="26">
        <v>0</v>
      </c>
      <c r="L483" s="26">
        <v>0</v>
      </c>
      <c r="M483" s="24">
        <v>142</v>
      </c>
      <c r="N483" s="31"/>
      <c r="O483" s="28" t="s">
        <v>345</v>
      </c>
      <c r="P483" s="28"/>
      <c r="Q483" s="28" t="s">
        <v>345</v>
      </c>
      <c r="R483" s="29">
        <f>LN(F483+1)/LN(MAX($F$10:$F$511)+1)*100</f>
        <v>6.987890304757113</v>
      </c>
      <c r="S483" s="29">
        <f>IF(H483=0,0,(K483*0.5+L483*0.5)*100)</f>
        <v>0</v>
      </c>
      <c r="T483" s="29">
        <f>IF(M483="",0,MIN(100,M483/MAX($M$10:$M$511)*100))</f>
        <v>1.8971275885103542</v>
      </c>
      <c r="U483" s="29">
        <f>MIN(100,IF(O483="Yes",50,0)+IF(N483="Yes",30,0)+IF(P483="Yes",20,0))</f>
        <v>0</v>
      </c>
      <c r="V483" s="30">
        <f>ROUND(U483*$C$3+S483*$C$4+T483*$C$5+R483*$C$6,1)</f>
        <v>1.5</v>
      </c>
      <c r="W483" s="9" t="s">
        <v>597</v>
      </c>
    </row>
    <row r="484" spans="1:23" ht="32.25" customHeight="1" x14ac:dyDescent="0.2">
      <c r="A484" s="23">
        <v>485</v>
      </c>
      <c r="B484" s="9" t="s">
        <v>280</v>
      </c>
      <c r="C484" s="9" t="s">
        <v>600</v>
      </c>
      <c r="D484" s="9" t="s">
        <v>890</v>
      </c>
      <c r="E484" s="9" t="s">
        <v>535</v>
      </c>
      <c r="F484" s="24">
        <v>1</v>
      </c>
      <c r="G484" s="24">
        <v>76</v>
      </c>
      <c r="H484" s="24">
        <v>1</v>
      </c>
      <c r="I484" s="25">
        <v>11.1</v>
      </c>
      <c r="J484" s="25">
        <v>11.1</v>
      </c>
      <c r="K484" s="26">
        <v>0</v>
      </c>
      <c r="L484" s="26">
        <v>0</v>
      </c>
      <c r="M484" s="24">
        <v>72</v>
      </c>
      <c r="N484" s="31"/>
      <c r="O484" s="28" t="s">
        <v>345</v>
      </c>
      <c r="P484" s="28"/>
      <c r="Q484" s="28" t="s">
        <v>345</v>
      </c>
      <c r="R484" s="29">
        <f>LN(F484+1)/LN(MAX($F$10:$F$511)+1)*100</f>
        <v>6.987890304757113</v>
      </c>
      <c r="S484" s="29">
        <f>IF(H484=0,0,(K484*0.5+L484*0.5)*100)</f>
        <v>0</v>
      </c>
      <c r="T484" s="29">
        <f>IF(M484="",0,MIN(100,M484/MAX($M$10:$M$511)*100))</f>
        <v>0.96192384769539074</v>
      </c>
      <c r="U484" s="29">
        <f>MIN(100,IF(O484="Yes",50,0)+IF(N484="Yes",30,0)+IF(P484="Yes",20,0))</f>
        <v>0</v>
      </c>
      <c r="V484" s="30">
        <f>ROUND(U484*$C$3+S484*$C$4+T484*$C$5+R484*$C$6,1)</f>
        <v>1.3</v>
      </c>
      <c r="W484" s="9" t="s">
        <v>597</v>
      </c>
    </row>
    <row r="485" spans="1:23" ht="32.25" customHeight="1" x14ac:dyDescent="0.2">
      <c r="A485" s="23">
        <v>486</v>
      </c>
      <c r="B485" s="9" t="s">
        <v>366</v>
      </c>
      <c r="C485" s="9" t="s">
        <v>794</v>
      </c>
      <c r="D485" s="9" t="s">
        <v>939</v>
      </c>
      <c r="E485" s="9" t="s">
        <v>369</v>
      </c>
      <c r="F485" s="24">
        <v>1</v>
      </c>
      <c r="G485" s="24">
        <v>155</v>
      </c>
      <c r="H485" s="24">
        <v>1</v>
      </c>
      <c r="I485" s="25">
        <v>2</v>
      </c>
      <c r="J485" s="25">
        <v>2</v>
      </c>
      <c r="K485" s="26">
        <v>0</v>
      </c>
      <c r="L485" s="26">
        <v>0</v>
      </c>
      <c r="M485" s="24">
        <v>58</v>
      </c>
      <c r="N485" s="31"/>
      <c r="O485" s="28" t="s">
        <v>345</v>
      </c>
      <c r="P485" s="28"/>
      <c r="Q485" s="28" t="s">
        <v>345</v>
      </c>
      <c r="R485" s="29">
        <f>LN(F485+1)/LN(MAX($F$10:$F$511)+1)*100</f>
        <v>6.987890304757113</v>
      </c>
      <c r="S485" s="29">
        <f>IF(H485=0,0,(K485*0.5+L485*0.5)*100)</f>
        <v>0</v>
      </c>
      <c r="T485" s="29">
        <f>IF(M485="",0,MIN(100,M485/MAX($M$10:$M$511)*100))</f>
        <v>0.77488309953239809</v>
      </c>
      <c r="U485" s="29">
        <f>MIN(100,IF(O485="Yes",50,0)+IF(N485="Yes",30,0)+IF(P485="Yes",20,0))</f>
        <v>0</v>
      </c>
      <c r="V485" s="30">
        <f>ROUND(U485*$C$3+S485*$C$4+T485*$C$5+R485*$C$6,1)</f>
        <v>1.2</v>
      </c>
      <c r="W485" s="9" t="s">
        <v>597</v>
      </c>
    </row>
    <row r="486" spans="1:23" ht="21.75" customHeight="1" x14ac:dyDescent="0.2">
      <c r="A486" s="23">
        <v>487</v>
      </c>
      <c r="B486" s="9" t="s">
        <v>280</v>
      </c>
      <c r="C486" s="9" t="s">
        <v>772</v>
      </c>
      <c r="D486" s="9" t="s">
        <v>890</v>
      </c>
      <c r="E486" s="9" t="s">
        <v>535</v>
      </c>
      <c r="F486" s="24">
        <v>1</v>
      </c>
      <c r="G486" s="24">
        <v>101</v>
      </c>
      <c r="H486" s="24">
        <v>1</v>
      </c>
      <c r="I486" s="25">
        <v>24.1</v>
      </c>
      <c r="J486" s="25">
        <v>24.1</v>
      </c>
      <c r="K486" s="26">
        <v>0</v>
      </c>
      <c r="L486" s="26">
        <v>0</v>
      </c>
      <c r="M486" s="24">
        <v>32</v>
      </c>
      <c r="N486" s="31"/>
      <c r="O486" s="28" t="s">
        <v>345</v>
      </c>
      <c r="P486" s="28"/>
      <c r="Q486" s="28" t="s">
        <v>345</v>
      </c>
      <c r="R486" s="29">
        <f>LN(F486+1)/LN(MAX($F$10:$F$511)+1)*100</f>
        <v>6.987890304757113</v>
      </c>
      <c r="S486" s="29">
        <f>IF(H486=0,0,(K486*0.5+L486*0.5)*100)</f>
        <v>0</v>
      </c>
      <c r="T486" s="29">
        <f>IF(M486="",0,MIN(100,M486/MAX($M$10:$M$511)*100))</f>
        <v>0.42752171008684037</v>
      </c>
      <c r="U486" s="29">
        <f>MIN(100,IF(O486="Yes",50,0)+IF(N486="Yes",30,0)+IF(P486="Yes",20,0))</f>
        <v>0</v>
      </c>
      <c r="V486" s="30">
        <f>ROUND(U486*$C$3+S486*$C$4+T486*$C$5+R486*$C$6,1)</f>
        <v>1.2</v>
      </c>
      <c r="W486" s="9" t="s">
        <v>597</v>
      </c>
    </row>
    <row r="487" spans="1:23" ht="32.25" customHeight="1" x14ac:dyDescent="0.2">
      <c r="A487" s="23">
        <v>488</v>
      </c>
      <c r="B487" s="9" t="s">
        <v>402</v>
      </c>
      <c r="C487" s="9" t="s">
        <v>940</v>
      </c>
      <c r="D487" s="9"/>
      <c r="E487" s="9" t="s">
        <v>811</v>
      </c>
      <c r="F487" s="24">
        <v>1</v>
      </c>
      <c r="G487" s="27"/>
      <c r="H487" s="24">
        <v>1</v>
      </c>
      <c r="I487" s="25">
        <v>62.8</v>
      </c>
      <c r="J487" s="25">
        <v>62.8</v>
      </c>
      <c r="K487" s="26">
        <v>0</v>
      </c>
      <c r="L487" s="26">
        <v>0</v>
      </c>
      <c r="M487" s="24">
        <v>31</v>
      </c>
      <c r="N487" s="31"/>
      <c r="O487" s="28" t="s">
        <v>345</v>
      </c>
      <c r="P487" s="28"/>
      <c r="Q487" s="28" t="s">
        <v>345</v>
      </c>
      <c r="R487" s="29">
        <f>LN(F487+1)/LN(MAX($F$10:$F$511)+1)*100</f>
        <v>6.987890304757113</v>
      </c>
      <c r="S487" s="29">
        <f>IF(H487=0,0,(K487*0.5+L487*0.5)*100)</f>
        <v>0</v>
      </c>
      <c r="T487" s="29">
        <f>IF(M487="",0,MIN(100,M487/MAX($M$10:$M$511)*100))</f>
        <v>0.41416165664662663</v>
      </c>
      <c r="U487" s="29">
        <f>MIN(100,IF(O487="Yes",50,0)+IF(N487="Yes",30,0)+IF(P487="Yes",20,0))</f>
        <v>0</v>
      </c>
      <c r="V487" s="30">
        <f>ROUND(U487*$C$3+S487*$C$4+T487*$C$5+R487*$C$6,1)</f>
        <v>1.2</v>
      </c>
      <c r="W487" s="9" t="s">
        <v>914</v>
      </c>
    </row>
    <row r="488" spans="1:23" ht="32.25" customHeight="1" x14ac:dyDescent="0.2">
      <c r="A488" s="23">
        <v>489</v>
      </c>
      <c r="B488" s="9" t="s">
        <v>366</v>
      </c>
      <c r="C488" s="9" t="s">
        <v>941</v>
      </c>
      <c r="D488" s="9" t="s">
        <v>195</v>
      </c>
      <c r="E488" s="9" t="s">
        <v>369</v>
      </c>
      <c r="F488" s="24">
        <v>1</v>
      </c>
      <c r="G488" s="24">
        <v>49</v>
      </c>
      <c r="H488" s="24">
        <v>1</v>
      </c>
      <c r="I488" s="25">
        <v>3.6</v>
      </c>
      <c r="J488" s="25">
        <v>3.6</v>
      </c>
      <c r="K488" s="26">
        <v>0</v>
      </c>
      <c r="L488" s="26">
        <v>0</v>
      </c>
      <c r="M488" s="24">
        <v>30</v>
      </c>
      <c r="N488" s="31"/>
      <c r="O488" s="28" t="s">
        <v>345</v>
      </c>
      <c r="P488" s="28"/>
      <c r="Q488" s="28" t="s">
        <v>345</v>
      </c>
      <c r="R488" s="29">
        <f>LN(F488+1)/LN(MAX($F$10:$F$511)+1)*100</f>
        <v>6.987890304757113</v>
      </c>
      <c r="S488" s="29">
        <f>IF(H488=0,0,(K488*0.5+L488*0.5)*100)</f>
        <v>0</v>
      </c>
      <c r="T488" s="29">
        <f>IF(M488="",0,MIN(100,M488/MAX($M$10:$M$511)*100))</f>
        <v>0.40080160320641278</v>
      </c>
      <c r="U488" s="29">
        <f>MIN(100,IF(O488="Yes",50,0)+IF(N488="Yes",30,0)+IF(P488="Yes",20,0))</f>
        <v>0</v>
      </c>
      <c r="V488" s="30">
        <f>ROUND(U488*$C$3+S488*$C$4+T488*$C$5+R488*$C$6,1)</f>
        <v>1.1000000000000001</v>
      </c>
      <c r="W488" s="9" t="s">
        <v>597</v>
      </c>
    </row>
    <row r="489" spans="1:23" ht="21.75" customHeight="1" x14ac:dyDescent="0.2">
      <c r="A489" s="23">
        <v>490</v>
      </c>
      <c r="B489" s="9" t="s">
        <v>416</v>
      </c>
      <c r="C489" s="9" t="s">
        <v>892</v>
      </c>
      <c r="D489" s="9" t="s">
        <v>218</v>
      </c>
      <c r="E489" s="9" t="s">
        <v>893</v>
      </c>
      <c r="F489" s="24">
        <v>1</v>
      </c>
      <c r="G489" s="24">
        <v>4</v>
      </c>
      <c r="H489" s="24">
        <v>1</v>
      </c>
      <c r="I489" s="25">
        <v>0.1</v>
      </c>
      <c r="J489" s="25">
        <v>0.1</v>
      </c>
      <c r="K489" s="26">
        <v>0</v>
      </c>
      <c r="L489" s="26">
        <v>0</v>
      </c>
      <c r="M489" s="24">
        <v>18</v>
      </c>
      <c r="N489" s="31"/>
      <c r="O489" s="28" t="s">
        <v>345</v>
      </c>
      <c r="P489" s="28"/>
      <c r="Q489" s="28" t="s">
        <v>345</v>
      </c>
      <c r="R489" s="29">
        <f>LN(F489+1)/LN(MAX($F$10:$F$511)+1)*100</f>
        <v>6.987890304757113</v>
      </c>
      <c r="S489" s="29">
        <f>IF(H489=0,0,(K489*0.5+L489*0.5)*100)</f>
        <v>0</v>
      </c>
      <c r="T489" s="29">
        <f>IF(M489="",0,MIN(100,M489/MAX($M$10:$M$511)*100))</f>
        <v>0.24048096192384769</v>
      </c>
      <c r="U489" s="29">
        <f>MIN(100,IF(O489="Yes",50,0)+IF(N489="Yes",30,0)+IF(P489="Yes",20,0))</f>
        <v>0</v>
      </c>
      <c r="V489" s="30">
        <f>ROUND(U489*$C$3+S489*$C$4+T489*$C$5+R489*$C$6,1)</f>
        <v>1.1000000000000001</v>
      </c>
      <c r="W489" s="9" t="s">
        <v>597</v>
      </c>
    </row>
    <row r="490" spans="1:23" ht="32.25" customHeight="1" x14ac:dyDescent="0.2">
      <c r="A490" s="23">
        <v>491</v>
      </c>
      <c r="B490" s="9" t="s">
        <v>416</v>
      </c>
      <c r="C490" s="9" t="s">
        <v>631</v>
      </c>
      <c r="D490" s="9" t="s">
        <v>942</v>
      </c>
      <c r="E490" s="9" t="s">
        <v>943</v>
      </c>
      <c r="F490" s="24">
        <v>1</v>
      </c>
      <c r="G490" s="24">
        <v>22</v>
      </c>
      <c r="H490" s="24">
        <v>1</v>
      </c>
      <c r="I490" s="25">
        <v>40</v>
      </c>
      <c r="J490" s="25">
        <v>40</v>
      </c>
      <c r="K490" s="26">
        <v>0</v>
      </c>
      <c r="L490" s="26">
        <v>0</v>
      </c>
      <c r="M490" s="24">
        <v>17</v>
      </c>
      <c r="N490" s="31"/>
      <c r="O490" s="28" t="s">
        <v>345</v>
      </c>
      <c r="P490" s="28"/>
      <c r="Q490" s="28" t="s">
        <v>344</v>
      </c>
      <c r="R490" s="29">
        <f>LN(F490+1)/LN(MAX($F$10:$F$511)+1)*100</f>
        <v>6.987890304757113</v>
      </c>
      <c r="S490" s="29">
        <f>IF(H490=0,0,(K490*0.5+L490*0.5)*100)</f>
        <v>0</v>
      </c>
      <c r="T490" s="29">
        <f>IF(M490="",0,MIN(100,M490/MAX($M$10:$M$511)*100))</f>
        <v>0.22712090848363395</v>
      </c>
      <c r="U490" s="29">
        <f>MIN(100,IF(O490="Yes",50,0)+IF(N490="Yes",30,0)+IF(P490="Yes",20,0))</f>
        <v>0</v>
      </c>
      <c r="V490" s="30">
        <f>ROUND(U490*$C$3+S490*$C$4+T490*$C$5+R490*$C$6,1)</f>
        <v>1.1000000000000001</v>
      </c>
      <c r="W490" s="9" t="s">
        <v>597</v>
      </c>
    </row>
    <row r="491" spans="1:23" ht="32.25" customHeight="1" x14ac:dyDescent="0.2">
      <c r="A491" s="23">
        <v>492</v>
      </c>
      <c r="B491" s="9" t="s">
        <v>510</v>
      </c>
      <c r="C491" s="9" t="s">
        <v>944</v>
      </c>
      <c r="D491" s="9" t="s">
        <v>195</v>
      </c>
      <c r="E491" s="9" t="s">
        <v>945</v>
      </c>
      <c r="F491" s="24">
        <v>1</v>
      </c>
      <c r="G491" s="24">
        <v>3</v>
      </c>
      <c r="H491" s="24">
        <v>1</v>
      </c>
      <c r="I491" s="25">
        <v>54.1</v>
      </c>
      <c r="J491" s="25">
        <v>54.1</v>
      </c>
      <c r="K491" s="26">
        <v>0</v>
      </c>
      <c r="L491" s="26">
        <v>0</v>
      </c>
      <c r="M491" s="24">
        <v>17</v>
      </c>
      <c r="N491" s="31"/>
      <c r="O491" s="28" t="s">
        <v>345</v>
      </c>
      <c r="P491" s="28"/>
      <c r="Q491" s="28" t="s">
        <v>345</v>
      </c>
      <c r="R491" s="29">
        <f>LN(F491+1)/LN(MAX($F$10:$F$511)+1)*100</f>
        <v>6.987890304757113</v>
      </c>
      <c r="S491" s="29">
        <f>IF(H491=0,0,(K491*0.5+L491*0.5)*100)</f>
        <v>0</v>
      </c>
      <c r="T491" s="29">
        <f>IF(M491="",0,MIN(100,M491/MAX($M$10:$M$511)*100))</f>
        <v>0.22712090848363395</v>
      </c>
      <c r="U491" s="29">
        <f>MIN(100,IF(O491="Yes",50,0)+IF(N491="Yes",30,0)+IF(P491="Yes",20,0))</f>
        <v>0</v>
      </c>
      <c r="V491" s="30">
        <f>ROUND(U491*$C$3+S491*$C$4+T491*$C$5+R491*$C$6,1)</f>
        <v>1.1000000000000001</v>
      </c>
      <c r="W491" s="9" t="s">
        <v>597</v>
      </c>
    </row>
    <row r="492" spans="1:23" ht="32.25" customHeight="1" x14ac:dyDescent="0.2">
      <c r="A492" s="23">
        <v>493</v>
      </c>
      <c r="B492" s="9" t="s">
        <v>476</v>
      </c>
      <c r="C492" s="9" t="s">
        <v>816</v>
      </c>
      <c r="D492" s="9" t="s">
        <v>629</v>
      </c>
      <c r="E492" s="9" t="s">
        <v>538</v>
      </c>
      <c r="F492" s="24">
        <v>1</v>
      </c>
      <c r="G492" s="24">
        <v>1998</v>
      </c>
      <c r="H492" s="24">
        <v>1</v>
      </c>
      <c r="I492" s="25">
        <v>1</v>
      </c>
      <c r="J492" s="25">
        <v>1</v>
      </c>
      <c r="K492" s="26">
        <v>0</v>
      </c>
      <c r="L492" s="26">
        <v>0</v>
      </c>
      <c r="M492" s="24">
        <v>10</v>
      </c>
      <c r="N492" s="31"/>
      <c r="O492" s="28" t="s">
        <v>345</v>
      </c>
      <c r="P492" s="28"/>
      <c r="Q492" s="28" t="s">
        <v>345</v>
      </c>
      <c r="R492" s="29">
        <f>LN(F492+1)/LN(MAX($F$10:$F$511)+1)*100</f>
        <v>6.987890304757113</v>
      </c>
      <c r="S492" s="29">
        <f>IF(H492=0,0,(K492*0.5+L492*0.5)*100)</f>
        <v>0</v>
      </c>
      <c r="T492" s="29">
        <f>IF(M492="",0,MIN(100,M492/MAX($M$10:$M$511)*100))</f>
        <v>0.13360053440213762</v>
      </c>
      <c r="U492" s="29">
        <f>MIN(100,IF(O492="Yes",50,0)+IF(N492="Yes",30,0)+IF(P492="Yes",20,0))</f>
        <v>0</v>
      </c>
      <c r="V492" s="30">
        <f>ROUND(U492*$C$3+S492*$C$4+T492*$C$5+R492*$C$6,1)</f>
        <v>1.1000000000000001</v>
      </c>
      <c r="W492" s="9" t="s">
        <v>597</v>
      </c>
    </row>
    <row r="493" spans="1:23" ht="21.75" customHeight="1" x14ac:dyDescent="0.2">
      <c r="A493" s="23">
        <v>494</v>
      </c>
      <c r="B493" s="9" t="s">
        <v>208</v>
      </c>
      <c r="C493" s="9" t="s">
        <v>946</v>
      </c>
      <c r="D493" s="9" t="s">
        <v>947</v>
      </c>
      <c r="E493" s="9" t="s">
        <v>948</v>
      </c>
      <c r="F493" s="24">
        <v>1</v>
      </c>
      <c r="G493" s="24">
        <v>1</v>
      </c>
      <c r="H493" s="24">
        <v>1</v>
      </c>
      <c r="I493" s="25">
        <v>10.5</v>
      </c>
      <c r="J493" s="25">
        <v>10.5</v>
      </c>
      <c r="K493" s="26">
        <v>0</v>
      </c>
      <c r="L493" s="26">
        <v>0</v>
      </c>
      <c r="M493" s="24">
        <v>9</v>
      </c>
      <c r="N493" s="31"/>
      <c r="O493" s="28" t="s">
        <v>345</v>
      </c>
      <c r="P493" s="28"/>
      <c r="Q493" s="28" t="s">
        <v>345</v>
      </c>
      <c r="R493" s="29">
        <f>LN(F493+1)/LN(MAX($F$10:$F$511)+1)*100</f>
        <v>6.987890304757113</v>
      </c>
      <c r="S493" s="29">
        <f>IF(H493=0,0,(K493*0.5+L493*0.5)*100)</f>
        <v>0</v>
      </c>
      <c r="T493" s="29">
        <f>IF(M493="",0,MIN(100,M493/MAX($M$10:$M$511)*100))</f>
        <v>0.12024048096192384</v>
      </c>
      <c r="U493" s="29">
        <f>MIN(100,IF(O493="Yes",50,0)+IF(N493="Yes",30,0)+IF(P493="Yes",20,0))</f>
        <v>0</v>
      </c>
      <c r="V493" s="30">
        <f>ROUND(U493*$C$3+S493*$C$4+T493*$C$5+R493*$C$6,1)</f>
        <v>1.1000000000000001</v>
      </c>
      <c r="W493" s="9" t="s">
        <v>597</v>
      </c>
    </row>
    <row r="494" spans="1:23" ht="15" customHeight="1" x14ac:dyDescent="0.2">
      <c r="A494" s="23">
        <v>495</v>
      </c>
      <c r="B494" s="9" t="s">
        <v>384</v>
      </c>
      <c r="C494" s="9" t="s">
        <v>571</v>
      </c>
      <c r="D494" s="9" t="s">
        <v>902</v>
      </c>
      <c r="E494" s="9" t="s">
        <v>657</v>
      </c>
      <c r="F494" s="24">
        <v>1</v>
      </c>
      <c r="G494" s="24">
        <v>12</v>
      </c>
      <c r="H494" s="24">
        <v>1</v>
      </c>
      <c r="I494" s="25">
        <v>1</v>
      </c>
      <c r="J494" s="25">
        <v>1</v>
      </c>
      <c r="K494" s="26">
        <v>0</v>
      </c>
      <c r="L494" s="26">
        <v>0</v>
      </c>
      <c r="M494" s="24">
        <v>9</v>
      </c>
      <c r="N494" s="31"/>
      <c r="O494" s="28" t="s">
        <v>345</v>
      </c>
      <c r="P494" s="28"/>
      <c r="Q494" s="28" t="s">
        <v>345</v>
      </c>
      <c r="R494" s="29">
        <f>LN(F494+1)/LN(MAX($F$10:$F$511)+1)*100</f>
        <v>6.987890304757113</v>
      </c>
      <c r="S494" s="29">
        <f>IF(H494=0,0,(K494*0.5+L494*0.5)*100)</f>
        <v>0</v>
      </c>
      <c r="T494" s="29">
        <f>IF(M494="",0,MIN(100,M494/MAX($M$10:$M$511)*100))</f>
        <v>0.12024048096192384</v>
      </c>
      <c r="U494" s="29">
        <f>MIN(100,IF(O494="Yes",50,0)+IF(N494="Yes",30,0)+IF(P494="Yes",20,0))</f>
        <v>0</v>
      </c>
      <c r="V494" s="30">
        <f>ROUND(U494*$C$3+S494*$C$4+T494*$C$5+R494*$C$6,1)</f>
        <v>1.1000000000000001</v>
      </c>
      <c r="W494" s="9" t="s">
        <v>597</v>
      </c>
    </row>
    <row r="495" spans="1:23" ht="32.25" customHeight="1" x14ac:dyDescent="0.2">
      <c r="A495" s="23">
        <v>496</v>
      </c>
      <c r="B495" s="9" t="s">
        <v>384</v>
      </c>
      <c r="C495" s="9" t="s">
        <v>571</v>
      </c>
      <c r="D495" s="9" t="s">
        <v>862</v>
      </c>
      <c r="E495" s="9" t="s">
        <v>657</v>
      </c>
      <c r="F495" s="24">
        <v>1</v>
      </c>
      <c r="G495" s="24">
        <v>12</v>
      </c>
      <c r="H495" s="24">
        <v>1</v>
      </c>
      <c r="I495" s="25">
        <v>15.1</v>
      </c>
      <c r="J495" s="25">
        <v>15.1</v>
      </c>
      <c r="K495" s="26">
        <v>0</v>
      </c>
      <c r="L495" s="26">
        <v>0</v>
      </c>
      <c r="M495" s="24">
        <v>9</v>
      </c>
      <c r="N495" s="31"/>
      <c r="O495" s="28" t="s">
        <v>345</v>
      </c>
      <c r="P495" s="28"/>
      <c r="Q495" s="28" t="s">
        <v>345</v>
      </c>
      <c r="R495" s="29">
        <f>LN(F495+1)/LN(MAX($F$10:$F$511)+1)*100</f>
        <v>6.987890304757113</v>
      </c>
      <c r="S495" s="29">
        <f>IF(H495=0,0,(K495*0.5+L495*0.5)*100)</f>
        <v>0</v>
      </c>
      <c r="T495" s="29">
        <f>IF(M495="",0,MIN(100,M495/MAX($M$10:$M$511)*100))</f>
        <v>0.12024048096192384</v>
      </c>
      <c r="U495" s="29">
        <f>MIN(100,IF(O495="Yes",50,0)+IF(N495="Yes",30,0)+IF(P495="Yes",20,0))</f>
        <v>0</v>
      </c>
      <c r="V495" s="30">
        <f>ROUND(U495*$C$3+S495*$C$4+T495*$C$5+R495*$C$6,1)</f>
        <v>1.1000000000000001</v>
      </c>
      <c r="W495" s="9" t="s">
        <v>597</v>
      </c>
    </row>
    <row r="496" spans="1:23" ht="15" customHeight="1" x14ac:dyDescent="0.2">
      <c r="A496" s="23">
        <v>497</v>
      </c>
      <c r="B496" s="9" t="s">
        <v>366</v>
      </c>
      <c r="C496" s="9" t="s">
        <v>841</v>
      </c>
      <c r="D496" s="9" t="s">
        <v>236</v>
      </c>
      <c r="E496" s="9" t="s">
        <v>497</v>
      </c>
      <c r="F496" s="24">
        <v>1</v>
      </c>
      <c r="G496" s="24">
        <v>4</v>
      </c>
      <c r="H496" s="24">
        <v>1</v>
      </c>
      <c r="I496" s="25">
        <v>0</v>
      </c>
      <c r="J496" s="25">
        <v>0</v>
      </c>
      <c r="K496" s="26">
        <v>0</v>
      </c>
      <c r="L496" s="26">
        <v>0</v>
      </c>
      <c r="M496" s="24">
        <v>6</v>
      </c>
      <c r="N496" s="31"/>
      <c r="O496" s="28" t="s">
        <v>345</v>
      </c>
      <c r="P496" s="28"/>
      <c r="Q496" s="28" t="s">
        <v>345</v>
      </c>
      <c r="R496" s="29">
        <f>LN(F496+1)/LN(MAX($F$10:$F$511)+1)*100</f>
        <v>6.987890304757113</v>
      </c>
      <c r="S496" s="29">
        <f>IF(H496=0,0,(K496*0.5+L496*0.5)*100)</f>
        <v>0</v>
      </c>
      <c r="T496" s="29">
        <f>IF(M496="",0,MIN(100,M496/MAX($M$10:$M$511)*100))</f>
        <v>8.0160320641282562E-2</v>
      </c>
      <c r="U496" s="29">
        <f>MIN(100,IF(O496="Yes",50,0)+IF(N496="Yes",30,0)+IF(P496="Yes",20,0))</f>
        <v>0</v>
      </c>
      <c r="V496" s="30">
        <f>ROUND(U496*$C$3+S496*$C$4+T496*$C$5+R496*$C$6,1)</f>
        <v>1.1000000000000001</v>
      </c>
      <c r="W496" s="9" t="s">
        <v>597</v>
      </c>
    </row>
    <row r="497" spans="1:23" ht="32.25" customHeight="1" x14ac:dyDescent="0.2">
      <c r="A497" s="23">
        <v>498</v>
      </c>
      <c r="B497" s="9" t="s">
        <v>384</v>
      </c>
      <c r="C497" s="9" t="s">
        <v>774</v>
      </c>
      <c r="D497" s="9" t="s">
        <v>895</v>
      </c>
      <c r="E497" s="9" t="s">
        <v>657</v>
      </c>
      <c r="F497" s="24">
        <v>1</v>
      </c>
      <c r="G497" s="24">
        <v>44</v>
      </c>
      <c r="H497" s="24">
        <v>1</v>
      </c>
      <c r="I497" s="25">
        <v>63.1</v>
      </c>
      <c r="J497" s="25">
        <v>63.1</v>
      </c>
      <c r="K497" s="26">
        <v>0</v>
      </c>
      <c r="L497" s="26">
        <v>0</v>
      </c>
      <c r="M497" s="24">
        <v>5</v>
      </c>
      <c r="N497" s="31"/>
      <c r="O497" s="28" t="s">
        <v>345</v>
      </c>
      <c r="P497" s="28"/>
      <c r="Q497" s="28" t="s">
        <v>345</v>
      </c>
      <c r="R497" s="29">
        <f>LN(F497+1)/LN(MAX($F$10:$F$511)+1)*100</f>
        <v>6.987890304757113</v>
      </c>
      <c r="S497" s="29">
        <f>IF(H497=0,0,(K497*0.5+L497*0.5)*100)</f>
        <v>0</v>
      </c>
      <c r="T497" s="29">
        <f>IF(M497="",0,MIN(100,M497/MAX($M$10:$M$511)*100))</f>
        <v>6.6800267201068811E-2</v>
      </c>
      <c r="U497" s="29">
        <f>MIN(100,IF(O497="Yes",50,0)+IF(N497="Yes",30,0)+IF(P497="Yes",20,0))</f>
        <v>0</v>
      </c>
      <c r="V497" s="30">
        <f>ROUND(U497*$C$3+S497*$C$4+T497*$C$5+R497*$C$6,1)</f>
        <v>1.1000000000000001</v>
      </c>
      <c r="W497" s="9" t="s">
        <v>597</v>
      </c>
    </row>
    <row r="498" spans="1:23" ht="21.75" customHeight="1" x14ac:dyDescent="0.2">
      <c r="A498" s="23">
        <v>499</v>
      </c>
      <c r="B498" s="9" t="s">
        <v>384</v>
      </c>
      <c r="C498" s="9" t="s">
        <v>878</v>
      </c>
      <c r="D498" s="9" t="s">
        <v>872</v>
      </c>
      <c r="E498" s="9" t="s">
        <v>657</v>
      </c>
      <c r="F498" s="24">
        <v>1</v>
      </c>
      <c r="G498" s="24">
        <v>37</v>
      </c>
      <c r="H498" s="24">
        <v>1</v>
      </c>
      <c r="I498" s="25">
        <v>5.9</v>
      </c>
      <c r="J498" s="25">
        <v>5.9</v>
      </c>
      <c r="K498" s="26">
        <v>0</v>
      </c>
      <c r="L498" s="26">
        <v>0</v>
      </c>
      <c r="M498" s="24">
        <v>4</v>
      </c>
      <c r="N498" s="31"/>
      <c r="O498" s="28" t="s">
        <v>345</v>
      </c>
      <c r="P498" s="28"/>
      <c r="Q498" s="28" t="s">
        <v>345</v>
      </c>
      <c r="R498" s="29">
        <f>LN(F498+1)/LN(MAX($F$10:$F$511)+1)*100</f>
        <v>6.987890304757113</v>
      </c>
      <c r="S498" s="29">
        <f>IF(H498=0,0,(K498*0.5+L498*0.5)*100)</f>
        <v>0</v>
      </c>
      <c r="T498" s="29">
        <f>IF(M498="",0,MIN(100,M498/MAX($M$10:$M$511)*100))</f>
        <v>5.3440213760855046E-2</v>
      </c>
      <c r="U498" s="29">
        <f>MIN(100,IF(O498="Yes",50,0)+IF(N498="Yes",30,0)+IF(P498="Yes",20,0))</f>
        <v>0</v>
      </c>
      <c r="V498" s="30">
        <f>ROUND(U498*$C$3+S498*$C$4+T498*$C$5+R498*$C$6,1)</f>
        <v>1.1000000000000001</v>
      </c>
      <c r="W498" s="9" t="s">
        <v>597</v>
      </c>
    </row>
    <row r="499" spans="1:23" ht="15" customHeight="1" x14ac:dyDescent="0.2">
      <c r="A499" s="23">
        <v>500</v>
      </c>
      <c r="B499" s="9" t="s">
        <v>384</v>
      </c>
      <c r="C499" s="9" t="s">
        <v>838</v>
      </c>
      <c r="D499" s="9" t="s">
        <v>822</v>
      </c>
      <c r="E499" s="9" t="s">
        <v>657</v>
      </c>
      <c r="F499" s="24">
        <v>1</v>
      </c>
      <c r="G499" s="24">
        <v>41</v>
      </c>
      <c r="H499" s="24">
        <v>1</v>
      </c>
      <c r="I499" s="25">
        <v>28</v>
      </c>
      <c r="J499" s="25">
        <v>28</v>
      </c>
      <c r="K499" s="26">
        <v>0</v>
      </c>
      <c r="L499" s="26">
        <v>0</v>
      </c>
      <c r="M499" s="24">
        <v>3</v>
      </c>
      <c r="N499" s="31"/>
      <c r="O499" s="28" t="s">
        <v>345</v>
      </c>
      <c r="P499" s="28"/>
      <c r="Q499" s="28" t="s">
        <v>345</v>
      </c>
      <c r="R499" s="29">
        <f>LN(F499+1)/LN(MAX($F$10:$F$511)+1)*100</f>
        <v>6.987890304757113</v>
      </c>
      <c r="S499" s="29">
        <f>IF(H499=0,0,(K499*0.5+L499*0.5)*100)</f>
        <v>0</v>
      </c>
      <c r="T499" s="29">
        <f>IF(M499="",0,MIN(100,M499/MAX($M$10:$M$511)*100))</f>
        <v>4.0080160320641281E-2</v>
      </c>
      <c r="U499" s="29">
        <f>MIN(100,IF(O499="Yes",50,0)+IF(N499="Yes",30,0)+IF(P499="Yes",20,0))</f>
        <v>0</v>
      </c>
      <c r="V499" s="30">
        <f>ROUND(U499*$C$3+S499*$C$4+T499*$C$5+R499*$C$6,1)</f>
        <v>1.1000000000000001</v>
      </c>
      <c r="W499" s="9" t="s">
        <v>597</v>
      </c>
    </row>
    <row r="500" spans="1:23" ht="32.25" customHeight="1" x14ac:dyDescent="0.2">
      <c r="A500" s="23">
        <v>501</v>
      </c>
      <c r="B500" s="9" t="s">
        <v>384</v>
      </c>
      <c r="C500" s="9" t="s">
        <v>838</v>
      </c>
      <c r="D500" s="9" t="s">
        <v>656</v>
      </c>
      <c r="E500" s="9" t="s">
        <v>657</v>
      </c>
      <c r="F500" s="24">
        <v>1</v>
      </c>
      <c r="G500" s="24">
        <v>41</v>
      </c>
      <c r="H500" s="24">
        <v>1</v>
      </c>
      <c r="I500" s="25">
        <v>47.9</v>
      </c>
      <c r="J500" s="25">
        <v>47.9</v>
      </c>
      <c r="K500" s="26">
        <v>0</v>
      </c>
      <c r="L500" s="26">
        <v>0</v>
      </c>
      <c r="M500" s="24">
        <v>3</v>
      </c>
      <c r="N500" s="31"/>
      <c r="O500" s="28" t="s">
        <v>345</v>
      </c>
      <c r="P500" s="28"/>
      <c r="Q500" s="28" t="s">
        <v>345</v>
      </c>
      <c r="R500" s="29">
        <f>LN(F500+1)/LN(MAX($F$10:$F$511)+1)*100</f>
        <v>6.987890304757113</v>
      </c>
      <c r="S500" s="29">
        <f>IF(H500=0,0,(K500*0.5+L500*0.5)*100)</f>
        <v>0</v>
      </c>
      <c r="T500" s="29">
        <f>IF(M500="",0,MIN(100,M500/MAX($M$10:$M$511)*100))</f>
        <v>4.0080160320641281E-2</v>
      </c>
      <c r="U500" s="29">
        <f>MIN(100,IF(O500="Yes",50,0)+IF(N500="Yes",30,0)+IF(P500="Yes",20,0))</f>
        <v>0</v>
      </c>
      <c r="V500" s="30">
        <f>ROUND(U500*$C$3+S500*$C$4+T500*$C$5+R500*$C$6,1)</f>
        <v>1.1000000000000001</v>
      </c>
      <c r="W500" s="9" t="s">
        <v>597</v>
      </c>
    </row>
    <row r="501" spans="1:23" ht="21.75" customHeight="1" x14ac:dyDescent="0.2">
      <c r="A501" s="23">
        <v>502</v>
      </c>
      <c r="B501" s="9" t="s">
        <v>248</v>
      </c>
      <c r="C501" s="9" t="s">
        <v>949</v>
      </c>
      <c r="D501" s="9"/>
      <c r="E501" s="9" t="s">
        <v>565</v>
      </c>
      <c r="F501" s="24">
        <v>1</v>
      </c>
      <c r="G501" s="24">
        <v>1</v>
      </c>
      <c r="H501" s="24">
        <v>1</v>
      </c>
      <c r="I501" s="25">
        <v>0.6</v>
      </c>
      <c r="J501" s="25">
        <v>0.6</v>
      </c>
      <c r="K501" s="26">
        <v>0</v>
      </c>
      <c r="L501" s="26">
        <v>0</v>
      </c>
      <c r="M501" s="24">
        <v>2</v>
      </c>
      <c r="N501" s="31"/>
      <c r="O501" s="28" t="s">
        <v>345</v>
      </c>
      <c r="P501" s="28"/>
      <c r="Q501" s="28" t="s">
        <v>345</v>
      </c>
      <c r="R501" s="29">
        <f>LN(F501+1)/LN(MAX($F$10:$F$511)+1)*100</f>
        <v>6.987890304757113</v>
      </c>
      <c r="S501" s="29">
        <f>IF(H501=0,0,(K501*0.5+L501*0.5)*100)</f>
        <v>0</v>
      </c>
      <c r="T501" s="29">
        <f>IF(M501="",0,MIN(100,M501/MAX($M$10:$M$511)*100))</f>
        <v>2.6720106880427523E-2</v>
      </c>
      <c r="U501" s="29">
        <f>MIN(100,IF(O501="Yes",50,0)+IF(N501="Yes",30,0)+IF(P501="Yes",20,0))</f>
        <v>0</v>
      </c>
      <c r="V501" s="30">
        <f>ROUND(U501*$C$3+S501*$C$4+T501*$C$5+R501*$C$6,1)</f>
        <v>1.1000000000000001</v>
      </c>
      <c r="W501" s="9" t="s">
        <v>781</v>
      </c>
    </row>
    <row r="502" spans="1:23" ht="21.75" customHeight="1" x14ac:dyDescent="0.2">
      <c r="A502" s="23">
        <v>195</v>
      </c>
      <c r="B502" s="9" t="s">
        <v>366</v>
      </c>
      <c r="C502" s="9" t="s">
        <v>671</v>
      </c>
      <c r="D502" s="9"/>
      <c r="E502" s="9" t="s">
        <v>550</v>
      </c>
      <c r="F502" s="24">
        <v>1</v>
      </c>
      <c r="G502" s="24">
        <v>1</v>
      </c>
      <c r="H502" s="24">
        <v>1</v>
      </c>
      <c r="I502" s="25">
        <v>60.3</v>
      </c>
      <c r="J502" s="25">
        <v>60.3</v>
      </c>
      <c r="K502" s="26">
        <v>0</v>
      </c>
      <c r="L502" s="26">
        <v>0</v>
      </c>
      <c r="M502" s="27"/>
      <c r="N502" s="31"/>
      <c r="O502" s="28" t="s">
        <v>345</v>
      </c>
      <c r="P502" s="28"/>
      <c r="Q502" s="28" t="s">
        <v>345</v>
      </c>
      <c r="R502" s="29">
        <f>LN(F502+1)/LN(MAX($F$10:$F$511)+1)*100</f>
        <v>6.987890304757113</v>
      </c>
      <c r="S502" s="29">
        <f>IF(H502=0,0,(K502*0.5+L502*0.5)*100)</f>
        <v>0</v>
      </c>
      <c r="T502" s="29">
        <f>IF(M502="",0,MIN(100,M502/MAX($M$10:$M$511)*100))</f>
        <v>0</v>
      </c>
      <c r="U502" s="29">
        <f>MIN(100,IF(O502="Yes",50,0)+IF(N502="Yes",30,0)+IF(P502="Yes",20,0))</f>
        <v>0</v>
      </c>
      <c r="V502" s="30">
        <f>ROUND(U502*$C$3+S502*$C$4+T502*$C$5+R502*$C$6,1)</f>
        <v>1</v>
      </c>
      <c r="W502" s="9" t="s">
        <v>531</v>
      </c>
    </row>
    <row r="503" spans="1:23" ht="21.75" customHeight="1" x14ac:dyDescent="0.2">
      <c r="A503" s="23">
        <v>196</v>
      </c>
      <c r="B503" s="9" t="s">
        <v>366</v>
      </c>
      <c r="C503" s="9" t="s">
        <v>548</v>
      </c>
      <c r="D503" s="9" t="s">
        <v>672</v>
      </c>
      <c r="E503" s="9" t="s">
        <v>550</v>
      </c>
      <c r="F503" s="24">
        <v>1</v>
      </c>
      <c r="G503" s="24">
        <v>16</v>
      </c>
      <c r="H503" s="24">
        <v>1</v>
      </c>
      <c r="I503" s="25">
        <v>30</v>
      </c>
      <c r="J503" s="25">
        <v>30</v>
      </c>
      <c r="K503" s="26">
        <v>0</v>
      </c>
      <c r="L503" s="26">
        <v>0</v>
      </c>
      <c r="M503" s="27"/>
      <c r="N503" s="31"/>
      <c r="O503" s="28" t="s">
        <v>345</v>
      </c>
      <c r="P503" s="28"/>
      <c r="Q503" s="28" t="s">
        <v>345</v>
      </c>
      <c r="R503" s="29">
        <f>LN(F503+1)/LN(MAX($F$10:$F$511)+1)*100</f>
        <v>6.987890304757113</v>
      </c>
      <c r="S503" s="29">
        <f>IF(H503=0,0,(K503*0.5+L503*0.5)*100)</f>
        <v>0</v>
      </c>
      <c r="T503" s="29">
        <f>IF(M503="",0,MIN(100,M503/MAX($M$10:$M$511)*100))</f>
        <v>0</v>
      </c>
      <c r="U503" s="29">
        <f>MIN(100,IF(O503="Yes",50,0)+IF(N503="Yes",30,0)+IF(P503="Yes",20,0))</f>
        <v>0</v>
      </c>
      <c r="V503" s="30">
        <f>ROUND(U503*$C$3+S503*$C$4+T503*$C$5+R503*$C$6,1)</f>
        <v>1</v>
      </c>
      <c r="W503" s="9" t="s">
        <v>419</v>
      </c>
    </row>
    <row r="504" spans="1:23" ht="32.25" customHeight="1" x14ac:dyDescent="0.2">
      <c r="A504" s="23">
        <v>197</v>
      </c>
      <c r="B504" s="9" t="s">
        <v>439</v>
      </c>
      <c r="C504" s="9" t="s">
        <v>673</v>
      </c>
      <c r="D504" s="9" t="s">
        <v>674</v>
      </c>
      <c r="E504" s="9" t="s">
        <v>675</v>
      </c>
      <c r="F504" s="24">
        <v>1</v>
      </c>
      <c r="G504" s="24">
        <v>1</v>
      </c>
      <c r="H504" s="24">
        <v>1</v>
      </c>
      <c r="I504" s="25">
        <v>16.600000000000001</v>
      </c>
      <c r="J504" s="25">
        <v>16.600000000000001</v>
      </c>
      <c r="K504" s="26">
        <v>0</v>
      </c>
      <c r="L504" s="26">
        <v>0</v>
      </c>
      <c r="M504" s="27"/>
      <c r="N504" s="31"/>
      <c r="O504" s="28" t="s">
        <v>345</v>
      </c>
      <c r="P504" s="28"/>
      <c r="Q504" s="28" t="s">
        <v>345</v>
      </c>
      <c r="R504" s="29">
        <f>LN(F504+1)/LN(MAX($F$10:$F$511)+1)*100</f>
        <v>6.987890304757113</v>
      </c>
      <c r="S504" s="29">
        <f>IF(H504=0,0,(K504*0.5+L504*0.5)*100)</f>
        <v>0</v>
      </c>
      <c r="T504" s="29">
        <f>IF(M504="",0,MIN(100,M504/MAX($M$10:$M$511)*100))</f>
        <v>0</v>
      </c>
      <c r="U504" s="29">
        <f>MIN(100,IF(O504="Yes",50,0)+IF(N504="Yes",30,0)+IF(P504="Yes",20,0))</f>
        <v>0</v>
      </c>
      <c r="V504" s="30">
        <f>ROUND(U504*$C$3+S504*$C$4+T504*$C$5+R504*$C$6,1)</f>
        <v>1</v>
      </c>
      <c r="W504" s="9" t="s">
        <v>419</v>
      </c>
    </row>
    <row r="505" spans="1:23" ht="32.25" customHeight="1" x14ac:dyDescent="0.2">
      <c r="A505" s="23">
        <v>198</v>
      </c>
      <c r="B505" s="9" t="s">
        <v>372</v>
      </c>
      <c r="C505" s="9" t="s">
        <v>676</v>
      </c>
      <c r="D505" s="9"/>
      <c r="E505" s="9" t="s">
        <v>654</v>
      </c>
      <c r="F505" s="24">
        <v>1</v>
      </c>
      <c r="G505" s="27"/>
      <c r="H505" s="24">
        <v>1</v>
      </c>
      <c r="I505" s="25">
        <v>0</v>
      </c>
      <c r="J505" s="25">
        <v>0</v>
      </c>
      <c r="K505" s="26">
        <v>0</v>
      </c>
      <c r="L505" s="26">
        <v>0</v>
      </c>
      <c r="M505" s="27"/>
      <c r="N505" s="31"/>
      <c r="O505" s="28" t="s">
        <v>345</v>
      </c>
      <c r="P505" s="28"/>
      <c r="Q505" s="28" t="s">
        <v>345</v>
      </c>
      <c r="R505" s="29">
        <f>LN(F505+1)/LN(MAX($F$10:$F$511)+1)*100</f>
        <v>6.987890304757113</v>
      </c>
      <c r="S505" s="29">
        <f>IF(H505=0,0,(K505*0.5+L505*0.5)*100)</f>
        <v>0</v>
      </c>
      <c r="T505" s="29">
        <f>IF(M505="",0,MIN(100,M505/MAX($M$10:$M$511)*100))</f>
        <v>0</v>
      </c>
      <c r="U505" s="29">
        <f>MIN(100,IF(O505="Yes",50,0)+IF(N505="Yes",30,0)+IF(P505="Yes",20,0))</f>
        <v>0</v>
      </c>
      <c r="V505" s="30">
        <f>ROUND(U505*$C$3+S505*$C$4+T505*$C$5+R505*$C$6,1)</f>
        <v>1</v>
      </c>
      <c r="W505" s="9" t="s">
        <v>677</v>
      </c>
    </row>
    <row r="506" spans="1:23" ht="21.75" customHeight="1" x14ac:dyDescent="0.2">
      <c r="A506" s="23">
        <v>199</v>
      </c>
      <c r="B506" s="9" t="s">
        <v>439</v>
      </c>
      <c r="C506" s="9" t="s">
        <v>678</v>
      </c>
      <c r="D506" s="9"/>
      <c r="E506" s="9" t="s">
        <v>675</v>
      </c>
      <c r="F506" s="24">
        <v>1</v>
      </c>
      <c r="G506" s="27"/>
      <c r="H506" s="24">
        <v>1</v>
      </c>
      <c r="I506" s="25">
        <v>12.6</v>
      </c>
      <c r="J506" s="25">
        <v>12.6</v>
      </c>
      <c r="K506" s="26">
        <v>0</v>
      </c>
      <c r="L506" s="26">
        <v>0</v>
      </c>
      <c r="M506" s="27"/>
      <c r="N506" s="31"/>
      <c r="O506" s="28" t="s">
        <v>345</v>
      </c>
      <c r="P506" s="28"/>
      <c r="Q506" s="28" t="s">
        <v>345</v>
      </c>
      <c r="R506" s="29">
        <f>LN(F506+1)/LN(MAX($F$10:$F$511)+1)*100</f>
        <v>6.987890304757113</v>
      </c>
      <c r="S506" s="29">
        <f>IF(H506=0,0,(K506*0.5+L506*0.5)*100)</f>
        <v>0</v>
      </c>
      <c r="T506" s="29">
        <f>IF(M506="",0,MIN(100,M506/MAX($M$10:$M$511)*100))</f>
        <v>0</v>
      </c>
      <c r="U506" s="29">
        <f>MIN(100,IF(O506="Yes",50,0)+IF(N506="Yes",30,0)+IF(P506="Yes",20,0))</f>
        <v>0</v>
      </c>
      <c r="V506" s="30">
        <f>ROUND(U506*$C$3+S506*$C$4+T506*$C$5+R506*$C$6,1)</f>
        <v>1</v>
      </c>
      <c r="W506" s="9" t="s">
        <v>677</v>
      </c>
    </row>
    <row r="507" spans="1:23" ht="32.25" customHeight="1" x14ac:dyDescent="0.2">
      <c r="A507" s="23">
        <v>200</v>
      </c>
      <c r="B507" s="9" t="s">
        <v>280</v>
      </c>
      <c r="C507" s="9" t="s">
        <v>341</v>
      </c>
      <c r="D507" s="9" t="s">
        <v>534</v>
      </c>
      <c r="E507" s="9" t="s">
        <v>535</v>
      </c>
      <c r="F507" s="24">
        <v>1</v>
      </c>
      <c r="G507" s="24">
        <v>50</v>
      </c>
      <c r="H507" s="24">
        <v>1</v>
      </c>
      <c r="I507" s="25">
        <v>54.3</v>
      </c>
      <c r="J507" s="25">
        <v>54.3</v>
      </c>
      <c r="K507" s="26">
        <v>0</v>
      </c>
      <c r="L507" s="26">
        <v>0</v>
      </c>
      <c r="M507" s="27"/>
      <c r="N507" s="31"/>
      <c r="O507" s="28" t="s">
        <v>345</v>
      </c>
      <c r="P507" s="28"/>
      <c r="Q507" s="28" t="s">
        <v>345</v>
      </c>
      <c r="R507" s="29">
        <f>LN(F507+1)/LN(MAX($F$10:$F$511)+1)*100</f>
        <v>6.987890304757113</v>
      </c>
      <c r="S507" s="29">
        <f>IF(H507=0,0,(K507*0.5+L507*0.5)*100)</f>
        <v>0</v>
      </c>
      <c r="T507" s="29">
        <f>IF(M507="",0,MIN(100,M507/MAX($M$10:$M$511)*100))</f>
        <v>0</v>
      </c>
      <c r="U507" s="29">
        <f>MIN(100,IF(O507="Yes",50,0)+IF(N507="Yes",30,0)+IF(P507="Yes",20,0))</f>
        <v>0</v>
      </c>
      <c r="V507" s="30">
        <f>ROUND(U507*$C$3+S507*$C$4+T507*$C$5+R507*$C$6,1)</f>
        <v>1</v>
      </c>
      <c r="W507" s="9" t="s">
        <v>419</v>
      </c>
    </row>
    <row r="508" spans="1:23" ht="21.75" customHeight="1" x14ac:dyDescent="0.2">
      <c r="A508" s="23">
        <v>201</v>
      </c>
      <c r="B508" s="9" t="s">
        <v>439</v>
      </c>
      <c r="C508" s="9" t="s">
        <v>679</v>
      </c>
      <c r="D508" s="9"/>
      <c r="E508" s="9" t="s">
        <v>530</v>
      </c>
      <c r="F508" s="24">
        <v>1</v>
      </c>
      <c r="G508" s="27"/>
      <c r="H508" s="24">
        <v>1</v>
      </c>
      <c r="I508" s="25">
        <v>4</v>
      </c>
      <c r="J508" s="25">
        <v>4</v>
      </c>
      <c r="K508" s="26">
        <v>0</v>
      </c>
      <c r="L508" s="26">
        <v>0</v>
      </c>
      <c r="M508" s="27"/>
      <c r="N508" s="31"/>
      <c r="O508" s="28" t="s">
        <v>345</v>
      </c>
      <c r="P508" s="28"/>
      <c r="Q508" s="28" t="s">
        <v>345</v>
      </c>
      <c r="R508" s="29">
        <f>LN(F508+1)/LN(MAX($F$10:$F$511)+1)*100</f>
        <v>6.987890304757113</v>
      </c>
      <c r="S508" s="29">
        <f>IF(H508=0,0,(K508*0.5+L508*0.5)*100)</f>
        <v>0</v>
      </c>
      <c r="T508" s="29">
        <f>IF(M508="",0,MIN(100,M508/MAX($M$10:$M$511)*100))</f>
        <v>0</v>
      </c>
      <c r="U508" s="29">
        <f>MIN(100,IF(O508="Yes",50,0)+IF(N508="Yes",30,0)+IF(P508="Yes",20,0))</f>
        <v>0</v>
      </c>
      <c r="V508" s="30">
        <f>ROUND(U508*$C$3+S508*$C$4+T508*$C$5+R508*$C$6,1)</f>
        <v>1</v>
      </c>
      <c r="W508" s="9" t="s">
        <v>677</v>
      </c>
    </row>
    <row r="509" spans="1:23" ht="32.25" customHeight="1" x14ac:dyDescent="0.2">
      <c r="A509" s="23">
        <v>202</v>
      </c>
      <c r="B509" s="9" t="s">
        <v>280</v>
      </c>
      <c r="C509" s="9" t="s">
        <v>680</v>
      </c>
      <c r="D509" s="9" t="s">
        <v>587</v>
      </c>
      <c r="E509" s="9" t="s">
        <v>503</v>
      </c>
      <c r="F509" s="24">
        <v>1</v>
      </c>
      <c r="G509" s="24">
        <v>1</v>
      </c>
      <c r="H509" s="24">
        <v>1</v>
      </c>
      <c r="I509" s="25">
        <v>47.8</v>
      </c>
      <c r="J509" s="25">
        <v>47.8</v>
      </c>
      <c r="K509" s="26">
        <v>0</v>
      </c>
      <c r="L509" s="26">
        <v>0</v>
      </c>
      <c r="M509" s="27"/>
      <c r="N509" s="31"/>
      <c r="O509" s="28" t="s">
        <v>345</v>
      </c>
      <c r="P509" s="28"/>
      <c r="Q509" s="28" t="s">
        <v>345</v>
      </c>
      <c r="R509" s="29">
        <f>LN(F509+1)/LN(MAX($F$10:$F$511)+1)*100</f>
        <v>6.987890304757113</v>
      </c>
      <c r="S509" s="29">
        <f>IF(H509=0,0,(K509*0.5+L509*0.5)*100)</f>
        <v>0</v>
      </c>
      <c r="T509" s="29">
        <f>IF(M509="",0,MIN(100,M509/MAX($M$10:$M$511)*100))</f>
        <v>0</v>
      </c>
      <c r="U509" s="29">
        <f>MIN(100,IF(O509="Yes",50,0)+IF(N509="Yes",30,0)+IF(P509="Yes",20,0))</f>
        <v>0</v>
      </c>
      <c r="V509" s="30">
        <f>ROUND(U509*$C$3+S509*$C$4+T509*$C$5+R509*$C$6,1)</f>
        <v>1</v>
      </c>
      <c r="W509" s="9" t="s">
        <v>419</v>
      </c>
    </row>
    <row r="510" spans="1:23" ht="32.25" customHeight="1" x14ac:dyDescent="0.2">
      <c r="A510" s="23">
        <v>203</v>
      </c>
      <c r="B510" s="9" t="s">
        <v>416</v>
      </c>
      <c r="C510" s="9" t="s">
        <v>681</v>
      </c>
      <c r="D510" s="9" t="s">
        <v>663</v>
      </c>
      <c r="E510" s="9" t="s">
        <v>682</v>
      </c>
      <c r="F510" s="24">
        <v>1</v>
      </c>
      <c r="G510" s="24">
        <v>1</v>
      </c>
      <c r="H510" s="24">
        <v>1</v>
      </c>
      <c r="I510" s="25">
        <v>21.1</v>
      </c>
      <c r="J510" s="25">
        <v>21.1</v>
      </c>
      <c r="K510" s="26">
        <v>0</v>
      </c>
      <c r="L510" s="26">
        <v>0</v>
      </c>
      <c r="M510" s="27"/>
      <c r="N510" s="31"/>
      <c r="O510" s="28" t="s">
        <v>345</v>
      </c>
      <c r="P510" s="28"/>
      <c r="Q510" s="28" t="s">
        <v>345</v>
      </c>
      <c r="R510" s="29">
        <f>LN(F510+1)/LN(MAX($F$10:$F$511)+1)*100</f>
        <v>6.987890304757113</v>
      </c>
      <c r="S510" s="29">
        <f>IF(H510=0,0,(K510*0.5+L510*0.5)*100)</f>
        <v>0</v>
      </c>
      <c r="T510" s="29">
        <f>IF(M510="",0,MIN(100,M510/MAX($M$10:$M$511)*100))</f>
        <v>0</v>
      </c>
      <c r="U510" s="29">
        <f>MIN(100,IF(O510="Yes",50,0)+IF(N510="Yes",30,0)+IF(P510="Yes",20,0))</f>
        <v>0</v>
      </c>
      <c r="V510" s="30">
        <f>ROUND(U510*$C$3+S510*$C$4+T510*$C$5+R510*$C$6,1)</f>
        <v>1</v>
      </c>
      <c r="W510" s="9" t="s">
        <v>419</v>
      </c>
    </row>
    <row r="511" spans="1:23" ht="21.75" customHeight="1" x14ac:dyDescent="0.2">
      <c r="A511" s="23">
        <v>204</v>
      </c>
      <c r="B511" s="9" t="s">
        <v>416</v>
      </c>
      <c r="C511" s="9" t="s">
        <v>683</v>
      </c>
      <c r="D511" s="9" t="s">
        <v>218</v>
      </c>
      <c r="E511" s="9" t="s">
        <v>684</v>
      </c>
      <c r="F511" s="24">
        <v>1</v>
      </c>
      <c r="G511" s="27"/>
      <c r="H511" s="24">
        <v>1</v>
      </c>
      <c r="I511" s="25">
        <v>12.8</v>
      </c>
      <c r="J511" s="25">
        <v>12.8</v>
      </c>
      <c r="K511" s="26">
        <v>0</v>
      </c>
      <c r="L511" s="26">
        <v>0</v>
      </c>
      <c r="M511" s="27"/>
      <c r="N511" s="31"/>
      <c r="O511" s="28" t="s">
        <v>345</v>
      </c>
      <c r="P511" s="28"/>
      <c r="Q511" s="28" t="s">
        <v>345</v>
      </c>
      <c r="R511" s="29">
        <f>LN(F511+1)/LN(MAX($F$10:$F$511)+1)*100</f>
        <v>6.987890304757113</v>
      </c>
      <c r="S511" s="29">
        <f>IF(H511=0,0,(K511*0.5+L511*0.5)*100)</f>
        <v>0</v>
      </c>
      <c r="T511" s="29">
        <f>IF(M511="",0,MIN(100,M511/MAX($M$10:$M$511)*100))</f>
        <v>0</v>
      </c>
      <c r="U511" s="29">
        <f>MIN(100,IF(O511="Yes",50,0)+IF(N511="Yes",30,0)+IF(P511="Yes",20,0))</f>
        <v>0</v>
      </c>
      <c r="V511" s="30">
        <f>ROUND(U511*$C$3+S511*$C$4+T511*$C$5+R511*$C$6,1)</f>
        <v>1</v>
      </c>
      <c r="W511" s="9" t="s">
        <v>635</v>
      </c>
    </row>
  </sheetData>
  <sortState xmlns:xlrd2="http://schemas.microsoft.com/office/spreadsheetml/2017/richdata2" ref="A10:W511">
    <sortCondition descending="1" ref="V9:V511"/>
  </sortState>
  <mergeCells count="1">
    <mergeCell ref="E2:N6"/>
  </mergeCells>
  <conditionalFormatting sqref="V10:V511">
    <cfRule type="colorScale" priority="2">
      <colorScale>
        <cfvo type="min"/>
        <cfvo type="percentile" val="50"/>
        <cfvo type="max"/>
        <color rgb="FFFFFFFF"/>
        <color rgb="FFFCE4A6"/>
        <color rgb="FF2E4A3A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showGridLines="0" zoomScaleNormal="100" workbookViewId="0">
      <pane ySplit="4" topLeftCell="A5" activePane="bottomLeft" state="frozen"/>
      <selection pane="bottomLeft" activeCell="D14" sqref="D14"/>
    </sheetView>
  </sheetViews>
  <sheetFormatPr baseColWidth="10" defaultColWidth="8.6640625" defaultRowHeight="15" x14ac:dyDescent="0.2"/>
  <cols>
    <col min="1" max="1" width="5" customWidth="1"/>
    <col min="2" max="2" width="34" customWidth="1"/>
    <col min="3" max="3" width="42" customWidth="1"/>
    <col min="4" max="4" width="44" customWidth="1"/>
    <col min="5" max="5" width="24" customWidth="1"/>
    <col min="6" max="6" width="34" customWidth="1"/>
  </cols>
  <sheetData>
    <row r="1" spans="1:6" ht="17.25" customHeight="1" x14ac:dyDescent="0.2">
      <c r="A1" s="7" t="s">
        <v>950</v>
      </c>
    </row>
    <row r="2" spans="1:6" ht="15" customHeight="1" x14ac:dyDescent="0.2">
      <c r="A2" s="11" t="s">
        <v>951</v>
      </c>
    </row>
    <row r="4" spans="1:6" ht="30" customHeight="1" x14ac:dyDescent="0.2">
      <c r="A4" s="33" t="s">
        <v>106</v>
      </c>
      <c r="B4" s="33" t="s">
        <v>952</v>
      </c>
      <c r="C4" s="33" t="s">
        <v>953</v>
      </c>
      <c r="D4" s="33" t="s">
        <v>954</v>
      </c>
      <c r="E4" s="33" t="s">
        <v>955</v>
      </c>
      <c r="F4" s="33" t="s">
        <v>956</v>
      </c>
    </row>
    <row r="5" spans="1:6" ht="54" customHeight="1" x14ac:dyDescent="0.2">
      <c r="A5" s="9">
        <v>1</v>
      </c>
      <c r="B5" s="10" t="s">
        <v>957</v>
      </c>
      <c r="C5" s="9" t="s">
        <v>958</v>
      </c>
      <c r="D5" s="9" t="s">
        <v>959</v>
      </c>
      <c r="E5" s="9" t="s">
        <v>960</v>
      </c>
      <c r="F5" s="34" t="s">
        <v>961</v>
      </c>
    </row>
    <row r="6" spans="1:6" ht="54" customHeight="1" x14ac:dyDescent="0.2">
      <c r="A6" s="9">
        <v>2</v>
      </c>
      <c r="B6" s="10" t="s">
        <v>129</v>
      </c>
      <c r="C6" s="9" t="s">
        <v>962</v>
      </c>
      <c r="D6" s="9" t="s">
        <v>963</v>
      </c>
      <c r="E6" s="9" t="s">
        <v>964</v>
      </c>
      <c r="F6" s="35" t="s">
        <v>965</v>
      </c>
    </row>
    <row r="7" spans="1:6" ht="54" customHeight="1" x14ac:dyDescent="0.2">
      <c r="A7" s="9">
        <v>3</v>
      </c>
      <c r="B7" s="10" t="s">
        <v>966</v>
      </c>
      <c r="C7" s="9" t="s">
        <v>967</v>
      </c>
      <c r="D7" s="9" t="s">
        <v>968</v>
      </c>
      <c r="E7" s="9" t="s">
        <v>969</v>
      </c>
      <c r="F7" s="35" t="s">
        <v>970</v>
      </c>
    </row>
    <row r="8" spans="1:6" ht="54" customHeight="1" x14ac:dyDescent="0.2">
      <c r="A8" s="9">
        <v>4</v>
      </c>
      <c r="B8" s="10" t="s">
        <v>971</v>
      </c>
      <c r="C8" s="9" t="s">
        <v>972</v>
      </c>
      <c r="D8" s="9" t="s">
        <v>973</v>
      </c>
      <c r="E8" s="9" t="s">
        <v>974</v>
      </c>
      <c r="F8" s="35" t="s">
        <v>975</v>
      </c>
    </row>
    <row r="9" spans="1:6" ht="54" customHeight="1" x14ac:dyDescent="0.2">
      <c r="A9" s="9">
        <v>5</v>
      </c>
      <c r="B9" s="10" t="s">
        <v>140</v>
      </c>
      <c r="C9" s="9" t="s">
        <v>976</v>
      </c>
      <c r="D9" s="9" t="s">
        <v>977</v>
      </c>
      <c r="E9" s="9" t="s">
        <v>978</v>
      </c>
      <c r="F9" s="34" t="s">
        <v>979</v>
      </c>
    </row>
    <row r="10" spans="1:6" ht="54" customHeight="1" x14ac:dyDescent="0.2">
      <c r="A10" s="9">
        <v>6</v>
      </c>
      <c r="B10" s="10" t="s">
        <v>980</v>
      </c>
      <c r="C10" s="9" t="s">
        <v>981</v>
      </c>
      <c r="D10" s="9" t="s">
        <v>982</v>
      </c>
      <c r="E10" s="9" t="s">
        <v>983</v>
      </c>
      <c r="F10" s="34" t="s">
        <v>984</v>
      </c>
    </row>
    <row r="11" spans="1:6" ht="54" customHeight="1" x14ac:dyDescent="0.2">
      <c r="A11" s="9">
        <v>7</v>
      </c>
      <c r="B11" s="10" t="s">
        <v>985</v>
      </c>
      <c r="C11" s="9" t="s">
        <v>986</v>
      </c>
      <c r="D11" s="9" t="s">
        <v>987</v>
      </c>
      <c r="E11" s="9" t="s">
        <v>978</v>
      </c>
      <c r="F11" s="35" t="s">
        <v>988</v>
      </c>
    </row>
    <row r="12" spans="1:6" ht="54" customHeight="1" x14ac:dyDescent="0.2">
      <c r="A12" s="9">
        <v>8</v>
      </c>
      <c r="B12" s="10" t="s">
        <v>989</v>
      </c>
      <c r="C12" s="9" t="s">
        <v>990</v>
      </c>
      <c r="D12" s="9" t="s">
        <v>991</v>
      </c>
      <c r="E12" s="9" t="s">
        <v>992</v>
      </c>
      <c r="F12" s="35" t="s">
        <v>993</v>
      </c>
    </row>
    <row r="13" spans="1:6" ht="54" customHeight="1" x14ac:dyDescent="0.2">
      <c r="A13" s="9">
        <v>9</v>
      </c>
      <c r="B13" s="10" t="s">
        <v>994</v>
      </c>
      <c r="C13" s="9" t="s">
        <v>995</v>
      </c>
      <c r="D13" s="9" t="s">
        <v>996</v>
      </c>
      <c r="E13" s="9" t="s">
        <v>997</v>
      </c>
      <c r="F13" s="10" t="s">
        <v>998</v>
      </c>
    </row>
    <row r="14" spans="1:6" ht="54" customHeight="1" x14ac:dyDescent="0.2">
      <c r="A14" s="9">
        <v>10</v>
      </c>
      <c r="B14" s="10" t="s">
        <v>999</v>
      </c>
      <c r="C14" s="9" t="s">
        <v>1000</v>
      </c>
      <c r="D14" s="9" t="s">
        <v>1001</v>
      </c>
      <c r="E14" s="9" t="s">
        <v>1002</v>
      </c>
      <c r="F14" s="10" t="s">
        <v>1003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2" width="13" customWidth="1"/>
    <col min="3" max="3" width="30" customWidth="1"/>
    <col min="4" max="4" width="46" customWidth="1"/>
    <col min="5" max="6" width="30" customWidth="1"/>
    <col min="7" max="7" width="40" customWidth="1"/>
  </cols>
  <sheetData>
    <row r="1" spans="1:7" ht="17.25" customHeight="1" x14ac:dyDescent="0.2">
      <c r="A1" s="7" t="s">
        <v>1004</v>
      </c>
    </row>
    <row r="2" spans="1:7" ht="43.5" customHeight="1" x14ac:dyDescent="0.2">
      <c r="A2" s="58" t="s">
        <v>1005</v>
      </c>
      <c r="B2" s="58"/>
      <c r="C2" s="58"/>
      <c r="D2" s="58"/>
      <c r="E2" s="58"/>
      <c r="F2" s="58"/>
      <c r="G2" s="58"/>
    </row>
    <row r="4" spans="1:7" ht="15" customHeight="1" x14ac:dyDescent="0.2">
      <c r="A4" s="3" t="s">
        <v>1006</v>
      </c>
    </row>
    <row r="5" spans="1:7" ht="39.75" customHeight="1" x14ac:dyDescent="0.2">
      <c r="A5" s="8" t="s">
        <v>1007</v>
      </c>
      <c r="B5" s="8" t="s">
        <v>1008</v>
      </c>
      <c r="C5" s="8" t="s">
        <v>1009</v>
      </c>
      <c r="D5" s="8" t="s">
        <v>1010</v>
      </c>
      <c r="E5" s="8" t="s">
        <v>1011</v>
      </c>
      <c r="F5" s="8" t="s">
        <v>1012</v>
      </c>
      <c r="G5" s="8" t="s">
        <v>1013</v>
      </c>
    </row>
    <row r="6" spans="1:7" ht="91.5" customHeight="1" x14ac:dyDescent="0.2">
      <c r="A6" s="9" t="s">
        <v>1014</v>
      </c>
      <c r="B6" s="9" t="s">
        <v>1015</v>
      </c>
      <c r="C6" s="9" t="s">
        <v>1016</v>
      </c>
      <c r="D6" s="9" t="s">
        <v>1017</v>
      </c>
      <c r="E6" s="9" t="s">
        <v>1018</v>
      </c>
      <c r="F6" s="34" t="s">
        <v>1019</v>
      </c>
      <c r="G6" s="9" t="s">
        <v>1020</v>
      </c>
    </row>
    <row r="7" spans="1:7" ht="91.5" customHeight="1" x14ac:dyDescent="0.2">
      <c r="A7" s="9" t="s">
        <v>1021</v>
      </c>
      <c r="B7" s="9" t="s">
        <v>1022</v>
      </c>
      <c r="C7" s="9" t="s">
        <v>1023</v>
      </c>
      <c r="D7" s="9" t="s">
        <v>1024</v>
      </c>
      <c r="E7" s="9" t="s">
        <v>1025</v>
      </c>
      <c r="F7" s="35" t="s">
        <v>1026</v>
      </c>
      <c r="G7" s="9" t="s">
        <v>1027</v>
      </c>
    </row>
    <row r="8" spans="1:7" ht="91.5" customHeight="1" x14ac:dyDescent="0.2">
      <c r="A8" s="9" t="s">
        <v>1028</v>
      </c>
      <c r="B8" s="9" t="s">
        <v>1029</v>
      </c>
      <c r="C8" s="9" t="s">
        <v>1030</v>
      </c>
      <c r="D8" s="9" t="s">
        <v>1031</v>
      </c>
      <c r="E8" s="9" t="s">
        <v>1032</v>
      </c>
      <c r="F8" s="36" t="s">
        <v>1033</v>
      </c>
      <c r="G8" s="9" t="s">
        <v>1034</v>
      </c>
    </row>
    <row r="9" spans="1:7" ht="91.5" customHeight="1" x14ac:dyDescent="0.2">
      <c r="A9" s="9" t="s">
        <v>1035</v>
      </c>
      <c r="B9" s="9" t="s">
        <v>1036</v>
      </c>
      <c r="C9" s="9" t="s">
        <v>1037</v>
      </c>
      <c r="D9" s="9" t="s">
        <v>1038</v>
      </c>
      <c r="E9" s="9" t="s">
        <v>1039</v>
      </c>
      <c r="F9" s="36" t="s">
        <v>1040</v>
      </c>
      <c r="G9" s="9" t="s">
        <v>1041</v>
      </c>
    </row>
    <row r="10" spans="1:7" ht="91.5" customHeight="1" x14ac:dyDescent="0.2">
      <c r="A10" s="9" t="s">
        <v>1042</v>
      </c>
      <c r="B10" s="9" t="s">
        <v>1043</v>
      </c>
      <c r="C10" s="9" t="s">
        <v>1044</v>
      </c>
      <c r="D10" s="9" t="s">
        <v>1045</v>
      </c>
      <c r="E10" s="9" t="s">
        <v>1046</v>
      </c>
      <c r="F10" s="10" t="s">
        <v>1047</v>
      </c>
      <c r="G10" s="9" t="s">
        <v>1048</v>
      </c>
    </row>
    <row r="11" spans="1:7" ht="91.5" customHeight="1" x14ac:dyDescent="0.2">
      <c r="A11" s="9" t="s">
        <v>1049</v>
      </c>
      <c r="B11" s="9" t="s">
        <v>1050</v>
      </c>
      <c r="C11" s="9" t="s">
        <v>1051</v>
      </c>
      <c r="D11" s="9" t="s">
        <v>1052</v>
      </c>
      <c r="E11" s="9" t="s">
        <v>1053</v>
      </c>
      <c r="F11" s="9" t="s">
        <v>1054</v>
      </c>
      <c r="G11" s="9" t="s">
        <v>1055</v>
      </c>
    </row>
    <row r="13" spans="1:7" ht="15" customHeight="1" x14ac:dyDescent="0.2">
      <c r="A13" s="3" t="s">
        <v>1056</v>
      </c>
    </row>
    <row r="14" spans="1:7" ht="27.75" customHeight="1" x14ac:dyDescent="0.2">
      <c r="A14" s="17" t="s">
        <v>1057</v>
      </c>
      <c r="B14" s="17" t="s">
        <v>1058</v>
      </c>
      <c r="C14" s="17" t="s">
        <v>1059</v>
      </c>
      <c r="D14" s="17" t="s">
        <v>1060</v>
      </c>
    </row>
    <row r="15" spans="1:7" ht="43.5" customHeight="1" x14ac:dyDescent="0.2">
      <c r="A15" s="9" t="s">
        <v>1061</v>
      </c>
      <c r="B15" s="37" t="s">
        <v>1062</v>
      </c>
      <c r="C15" s="9" t="s">
        <v>1063</v>
      </c>
      <c r="D15" s="9" t="s">
        <v>1064</v>
      </c>
    </row>
    <row r="16" spans="1:7" ht="43.5" customHeight="1" x14ac:dyDescent="0.2">
      <c r="A16" s="9" t="s">
        <v>1065</v>
      </c>
      <c r="B16" s="37" t="s">
        <v>1062</v>
      </c>
      <c r="C16" s="9" t="s">
        <v>1066</v>
      </c>
      <c r="D16" s="9" t="s">
        <v>1067</v>
      </c>
    </row>
    <row r="17" spans="1:7" ht="43.5" customHeight="1" x14ac:dyDescent="0.2">
      <c r="A17" s="9" t="s">
        <v>1068</v>
      </c>
      <c r="B17" s="37" t="s">
        <v>1062</v>
      </c>
      <c r="C17" s="9" t="s">
        <v>1069</v>
      </c>
      <c r="D17" s="9" t="s">
        <v>1070</v>
      </c>
    </row>
    <row r="18" spans="1:7" ht="43.5" customHeight="1" x14ac:dyDescent="0.2">
      <c r="A18" s="9" t="s">
        <v>1071</v>
      </c>
      <c r="B18" s="37" t="s">
        <v>1062</v>
      </c>
      <c r="C18" s="9" t="s">
        <v>1072</v>
      </c>
      <c r="D18" s="9" t="s">
        <v>1073</v>
      </c>
    </row>
    <row r="19" spans="1:7" ht="43.5" customHeight="1" x14ac:dyDescent="0.2">
      <c r="A19" s="9" t="s">
        <v>1074</v>
      </c>
      <c r="B19" s="37" t="s">
        <v>1062</v>
      </c>
      <c r="C19" s="9" t="s">
        <v>1075</v>
      </c>
      <c r="D19" s="9" t="s">
        <v>100</v>
      </c>
    </row>
    <row r="20" spans="1:7" ht="43.5" customHeight="1" x14ac:dyDescent="0.2">
      <c r="A20" s="9" t="s">
        <v>1076</v>
      </c>
      <c r="B20" s="37" t="s">
        <v>1062</v>
      </c>
      <c r="C20" s="9" t="s">
        <v>1077</v>
      </c>
      <c r="D20" s="9" t="s">
        <v>100</v>
      </c>
    </row>
    <row r="21" spans="1:7" ht="43.5" customHeight="1" x14ac:dyDescent="0.2">
      <c r="A21" s="9" t="s">
        <v>1078</v>
      </c>
      <c r="B21" s="37" t="s">
        <v>1062</v>
      </c>
      <c r="C21" s="9" t="s">
        <v>1079</v>
      </c>
      <c r="D21" s="9" t="s">
        <v>100</v>
      </c>
    </row>
    <row r="22" spans="1:7" ht="43.5" customHeight="1" x14ac:dyDescent="0.2">
      <c r="A22" s="9" t="s">
        <v>1080</v>
      </c>
      <c r="B22" s="37" t="s">
        <v>1062</v>
      </c>
      <c r="C22" s="9" t="s">
        <v>1081</v>
      </c>
      <c r="D22" s="9" t="s">
        <v>1082</v>
      </c>
    </row>
    <row r="23" spans="1:7" ht="43.5" customHeight="1" x14ac:dyDescent="0.2">
      <c r="A23" s="9" t="s">
        <v>1083</v>
      </c>
      <c r="B23" s="13" t="s">
        <v>1084</v>
      </c>
      <c r="C23" s="9" t="s">
        <v>1085</v>
      </c>
      <c r="D23" s="9" t="s">
        <v>1086</v>
      </c>
    </row>
    <row r="24" spans="1:7" ht="43.5" customHeight="1" x14ac:dyDescent="0.2">
      <c r="A24" s="9" t="s">
        <v>1087</v>
      </c>
      <c r="B24" s="13" t="s">
        <v>1084</v>
      </c>
      <c r="C24" s="9" t="s">
        <v>1088</v>
      </c>
      <c r="D24" s="9" t="s">
        <v>1089</v>
      </c>
    </row>
    <row r="25" spans="1:7" ht="43.5" customHeight="1" x14ac:dyDescent="0.2">
      <c r="A25" s="9" t="s">
        <v>1090</v>
      </c>
      <c r="B25" s="12" t="s">
        <v>1091</v>
      </c>
      <c r="C25" s="9" t="s">
        <v>1092</v>
      </c>
      <c r="D25" s="9" t="s">
        <v>1093</v>
      </c>
    </row>
    <row r="26" spans="1:7" ht="43.5" customHeight="1" x14ac:dyDescent="0.2">
      <c r="A26" s="9" t="s">
        <v>1094</v>
      </c>
      <c r="B26" s="37" t="s">
        <v>1062</v>
      </c>
      <c r="C26" s="9" t="s">
        <v>1095</v>
      </c>
      <c r="D26" s="9" t="s">
        <v>1096</v>
      </c>
    </row>
    <row r="28" spans="1:7" ht="15" customHeight="1" x14ac:dyDescent="0.2">
      <c r="A28" s="3" t="s">
        <v>1097</v>
      </c>
    </row>
    <row r="29" spans="1:7" ht="15" customHeight="1" x14ac:dyDescent="0.2">
      <c r="A29" s="59" t="s">
        <v>1098</v>
      </c>
      <c r="B29" s="59"/>
      <c r="C29" s="59"/>
      <c r="D29" s="59"/>
      <c r="E29" s="59"/>
      <c r="F29" s="59"/>
      <c r="G29" s="59"/>
    </row>
    <row r="30" spans="1:7" ht="15" customHeight="1" x14ac:dyDescent="0.2">
      <c r="A30" s="60" t="s">
        <v>1099</v>
      </c>
      <c r="B30" s="60"/>
      <c r="C30" s="60"/>
      <c r="D30" s="60"/>
      <c r="E30" s="60"/>
      <c r="F30" s="60"/>
      <c r="G30" s="60"/>
    </row>
    <row r="31" spans="1:7" ht="25.5" customHeight="1" x14ac:dyDescent="0.2">
      <c r="A31" s="8" t="s">
        <v>1100</v>
      </c>
      <c r="B31" s="8" t="s">
        <v>1101</v>
      </c>
      <c r="C31" s="8" t="s">
        <v>1102</v>
      </c>
      <c r="D31" s="8" t="s">
        <v>1103</v>
      </c>
    </row>
    <row r="32" spans="1:7" ht="109.5" customHeight="1" x14ac:dyDescent="0.2">
      <c r="A32" s="9" t="s">
        <v>1104</v>
      </c>
      <c r="B32" s="37" t="s">
        <v>1105</v>
      </c>
      <c r="C32" s="9" t="s">
        <v>1106</v>
      </c>
      <c r="D32" s="9" t="s">
        <v>1107</v>
      </c>
    </row>
    <row r="33" spans="1:7" ht="51.75" customHeight="1" x14ac:dyDescent="0.2">
      <c r="A33" s="9" t="s">
        <v>1108</v>
      </c>
      <c r="B33" s="37" t="s">
        <v>1105</v>
      </c>
      <c r="C33" s="9" t="s">
        <v>1109</v>
      </c>
      <c r="D33" s="9" t="s">
        <v>1110</v>
      </c>
    </row>
    <row r="34" spans="1:7" ht="51.75" customHeight="1" x14ac:dyDescent="0.2">
      <c r="A34" s="9" t="s">
        <v>1111</v>
      </c>
      <c r="B34" s="37" t="s">
        <v>1105</v>
      </c>
      <c r="C34" s="9" t="s">
        <v>1112</v>
      </c>
      <c r="D34" s="9" t="s">
        <v>1113</v>
      </c>
    </row>
    <row r="35" spans="1:7" ht="51.75" customHeight="1" x14ac:dyDescent="0.2">
      <c r="A35" s="9" t="s">
        <v>1114</v>
      </c>
      <c r="B35" s="13" t="s">
        <v>1084</v>
      </c>
      <c r="C35" s="9" t="s">
        <v>1115</v>
      </c>
      <c r="D35" s="9" t="s">
        <v>1116</v>
      </c>
    </row>
    <row r="36" spans="1:7" ht="51.75" customHeight="1" x14ac:dyDescent="0.2">
      <c r="A36" s="9" t="s">
        <v>1117</v>
      </c>
      <c r="B36" s="14" t="s">
        <v>1118</v>
      </c>
      <c r="C36" s="9" t="s">
        <v>1119</v>
      </c>
      <c r="D36" s="9" t="s">
        <v>1120</v>
      </c>
    </row>
    <row r="37" spans="1:7" ht="51.75" customHeight="1" x14ac:dyDescent="0.2">
      <c r="A37" s="9" t="s">
        <v>1121</v>
      </c>
      <c r="B37" s="14" t="s">
        <v>1118</v>
      </c>
      <c r="C37" s="9" t="s">
        <v>1119</v>
      </c>
      <c r="D37" s="9" t="s">
        <v>1122</v>
      </c>
    </row>
    <row r="38" spans="1:7" ht="51.75" customHeight="1" x14ac:dyDescent="0.2">
      <c r="A38" s="9" t="s">
        <v>1123</v>
      </c>
      <c r="B38" s="12" t="s">
        <v>1124</v>
      </c>
      <c r="C38" s="9" t="s">
        <v>1119</v>
      </c>
      <c r="D38" s="9" t="s">
        <v>1125</v>
      </c>
    </row>
    <row r="39" spans="1:7" ht="51.75" customHeight="1" x14ac:dyDescent="0.2">
      <c r="A39" s="9" t="s">
        <v>1126</v>
      </c>
      <c r="B39" s="14" t="s">
        <v>1118</v>
      </c>
      <c r="C39" s="9" t="s">
        <v>1119</v>
      </c>
      <c r="D39" s="9" t="s">
        <v>1127</v>
      </c>
    </row>
    <row r="41" spans="1:7" ht="15" customHeight="1" x14ac:dyDescent="0.2">
      <c r="A41" s="61" t="s">
        <v>1128</v>
      </c>
      <c r="B41" s="61"/>
      <c r="C41" s="61"/>
      <c r="D41" s="61"/>
      <c r="E41" s="61"/>
      <c r="F41" s="61"/>
      <c r="G41" s="61"/>
    </row>
    <row r="42" spans="1:7" ht="15" customHeight="1" x14ac:dyDescent="0.2">
      <c r="A42" s="61"/>
      <c r="B42" s="61"/>
      <c r="C42" s="61"/>
      <c r="D42" s="61"/>
      <c r="E42" s="61"/>
      <c r="F42" s="61"/>
      <c r="G42" s="61"/>
    </row>
    <row r="43" spans="1:7" ht="15" customHeight="1" x14ac:dyDescent="0.2">
      <c r="A43" s="61"/>
      <c r="B43" s="61"/>
      <c r="C43" s="61"/>
      <c r="D43" s="61"/>
      <c r="E43" s="61"/>
      <c r="F43" s="61"/>
      <c r="G43" s="61"/>
    </row>
  </sheetData>
  <mergeCells count="4">
    <mergeCell ref="A2:G2"/>
    <mergeCell ref="A29:G29"/>
    <mergeCell ref="A30:G30"/>
    <mergeCell ref="A41:G4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34" customWidth="1"/>
    <col min="4" max="4" width="16" customWidth="1"/>
    <col min="5" max="5" width="15" customWidth="1"/>
    <col min="6" max="6" width="64" customWidth="1"/>
  </cols>
  <sheetData>
    <row r="1" spans="1:7" ht="17.25" customHeight="1" x14ac:dyDescent="0.2">
      <c r="A1" s="7" t="s">
        <v>1129</v>
      </c>
    </row>
    <row r="2" spans="1:7" ht="39.75" customHeight="1" x14ac:dyDescent="0.2">
      <c r="A2" s="58" t="s">
        <v>1130</v>
      </c>
      <c r="B2" s="58"/>
      <c r="C2" s="58"/>
      <c r="D2" s="58"/>
      <c r="E2" s="58"/>
      <c r="F2" s="58"/>
      <c r="G2" s="58"/>
    </row>
    <row r="4" spans="1:7" ht="23.25" customHeight="1" x14ac:dyDescent="0.2">
      <c r="A4" s="8" t="s">
        <v>106</v>
      </c>
      <c r="B4" s="8" t="s">
        <v>1007</v>
      </c>
      <c r="C4" s="8" t="s">
        <v>1131</v>
      </c>
      <c r="D4" s="8" t="s">
        <v>1132</v>
      </c>
      <c r="E4" s="8" t="s">
        <v>1133</v>
      </c>
      <c r="F4" s="8" t="s">
        <v>1134</v>
      </c>
    </row>
    <row r="5" spans="1:7" ht="25.5" customHeight="1" x14ac:dyDescent="0.2">
      <c r="A5" s="28">
        <v>1</v>
      </c>
      <c r="B5" s="9" t="s">
        <v>1135</v>
      </c>
      <c r="C5" s="9" t="s">
        <v>1136</v>
      </c>
      <c r="D5" s="38" t="s">
        <v>1137</v>
      </c>
      <c r="E5" s="28" t="s">
        <v>1138</v>
      </c>
      <c r="F5" s="9" t="s">
        <v>1139</v>
      </c>
    </row>
    <row r="6" spans="1:7" ht="25.5" customHeight="1" x14ac:dyDescent="0.2">
      <c r="A6" s="28">
        <v>2</v>
      </c>
      <c r="B6" s="9" t="s">
        <v>1135</v>
      </c>
      <c r="C6" s="9" t="s">
        <v>1140</v>
      </c>
      <c r="D6" s="38" t="s">
        <v>1137</v>
      </c>
      <c r="E6" s="28" t="s">
        <v>1138</v>
      </c>
      <c r="F6" s="9"/>
    </row>
    <row r="7" spans="1:7" ht="25.5" customHeight="1" x14ac:dyDescent="0.2">
      <c r="A7" s="28">
        <v>3</v>
      </c>
      <c r="B7" s="9" t="s">
        <v>1135</v>
      </c>
      <c r="C7" s="9" t="s">
        <v>1141</v>
      </c>
      <c r="D7" s="38" t="s">
        <v>1137</v>
      </c>
      <c r="E7" s="28" t="s">
        <v>1138</v>
      </c>
      <c r="F7" s="9"/>
    </row>
    <row r="8" spans="1:7" ht="25.5" customHeight="1" x14ac:dyDescent="0.2">
      <c r="A8" s="28">
        <v>4</v>
      </c>
      <c r="B8" s="9" t="s">
        <v>1135</v>
      </c>
      <c r="C8" s="9" t="s">
        <v>1142</v>
      </c>
      <c r="D8" s="38" t="s">
        <v>1137</v>
      </c>
      <c r="E8" s="28" t="s">
        <v>1138</v>
      </c>
      <c r="F8" s="9"/>
    </row>
    <row r="9" spans="1:7" ht="25.5" customHeight="1" x14ac:dyDescent="0.2">
      <c r="A9" s="28">
        <v>5</v>
      </c>
      <c r="B9" s="9" t="s">
        <v>1135</v>
      </c>
      <c r="C9" s="9" t="s">
        <v>1143</v>
      </c>
      <c r="D9" s="38" t="s">
        <v>1137</v>
      </c>
      <c r="E9" s="28" t="s">
        <v>1138</v>
      </c>
      <c r="F9" s="9"/>
    </row>
    <row r="10" spans="1:7" ht="25.5" customHeight="1" x14ac:dyDescent="0.2">
      <c r="A10" s="28">
        <v>6</v>
      </c>
      <c r="B10" s="9" t="s">
        <v>1135</v>
      </c>
      <c r="C10" s="9" t="s">
        <v>1144</v>
      </c>
      <c r="D10" s="38" t="s">
        <v>1137</v>
      </c>
      <c r="E10" s="28" t="s">
        <v>1138</v>
      </c>
      <c r="F10" s="9"/>
    </row>
    <row r="11" spans="1:7" ht="25.5" customHeight="1" x14ac:dyDescent="0.2">
      <c r="A11" s="28">
        <v>7</v>
      </c>
      <c r="B11" s="9" t="s">
        <v>1135</v>
      </c>
      <c r="C11" s="9" t="s">
        <v>1145</v>
      </c>
      <c r="D11" s="38" t="s">
        <v>1137</v>
      </c>
      <c r="E11" s="28" t="s">
        <v>1138</v>
      </c>
      <c r="F11" s="9"/>
    </row>
    <row r="12" spans="1:7" ht="25.5" customHeight="1" x14ac:dyDescent="0.2">
      <c r="A12" s="28">
        <v>8</v>
      </c>
      <c r="B12" s="9" t="s">
        <v>1135</v>
      </c>
      <c r="C12" s="9" t="s">
        <v>1146</v>
      </c>
      <c r="D12" s="38" t="s">
        <v>1137</v>
      </c>
      <c r="E12" s="28" t="s">
        <v>1138</v>
      </c>
      <c r="F12" s="9"/>
    </row>
    <row r="13" spans="1:7" ht="25.5" customHeight="1" x14ac:dyDescent="0.2">
      <c r="A13" s="28">
        <v>9</v>
      </c>
      <c r="B13" s="9" t="s">
        <v>1135</v>
      </c>
      <c r="C13" s="9" t="s">
        <v>1147</v>
      </c>
      <c r="D13" s="38" t="s">
        <v>1137</v>
      </c>
      <c r="E13" s="28" t="s">
        <v>1138</v>
      </c>
      <c r="F13" s="9"/>
    </row>
    <row r="14" spans="1:7" ht="25.5" customHeight="1" x14ac:dyDescent="0.2">
      <c r="A14" s="28">
        <v>10</v>
      </c>
      <c r="B14" s="9" t="s">
        <v>1135</v>
      </c>
      <c r="C14" s="9" t="s">
        <v>1148</v>
      </c>
      <c r="D14" s="38" t="s">
        <v>1137</v>
      </c>
      <c r="E14" s="28" t="s">
        <v>1138</v>
      </c>
      <c r="F14" s="9"/>
    </row>
    <row r="15" spans="1:7" ht="25.5" customHeight="1" x14ac:dyDescent="0.2">
      <c r="A15" s="28">
        <v>11</v>
      </c>
      <c r="B15" s="9" t="s">
        <v>1135</v>
      </c>
      <c r="C15" s="9" t="s">
        <v>1149</v>
      </c>
      <c r="D15" s="38" t="s">
        <v>1137</v>
      </c>
      <c r="E15" s="28" t="s">
        <v>1138</v>
      </c>
      <c r="F15" s="9"/>
    </row>
    <row r="16" spans="1:7" ht="25.5" customHeight="1" x14ac:dyDescent="0.2">
      <c r="A16" s="28">
        <v>12</v>
      </c>
      <c r="B16" s="9" t="s">
        <v>1135</v>
      </c>
      <c r="C16" s="9" t="s">
        <v>1150</v>
      </c>
      <c r="D16" s="38" t="s">
        <v>1137</v>
      </c>
      <c r="E16" s="28" t="s">
        <v>1138</v>
      </c>
      <c r="F16" s="9"/>
    </row>
    <row r="17" spans="1:6" ht="25.5" customHeight="1" x14ac:dyDescent="0.2">
      <c r="A17" s="28">
        <v>13</v>
      </c>
      <c r="B17" s="9" t="s">
        <v>1135</v>
      </c>
      <c r="C17" s="9" t="s">
        <v>1151</v>
      </c>
      <c r="D17" s="38" t="s">
        <v>1137</v>
      </c>
      <c r="E17" s="28" t="s">
        <v>1138</v>
      </c>
      <c r="F17" s="9"/>
    </row>
    <row r="18" spans="1:6" ht="25.5" customHeight="1" x14ac:dyDescent="0.2">
      <c r="A18" s="28">
        <v>14</v>
      </c>
      <c r="B18" s="9" t="s">
        <v>1135</v>
      </c>
      <c r="C18" s="9" t="s">
        <v>1152</v>
      </c>
      <c r="D18" s="38" t="s">
        <v>1137</v>
      </c>
      <c r="E18" s="28" t="s">
        <v>1138</v>
      </c>
      <c r="F18" s="9"/>
    </row>
    <row r="19" spans="1:6" ht="25.5" customHeight="1" x14ac:dyDescent="0.2">
      <c r="A19" s="28">
        <v>15</v>
      </c>
      <c r="B19" s="9" t="s">
        <v>1135</v>
      </c>
      <c r="C19" s="9" t="s">
        <v>1153</v>
      </c>
      <c r="D19" s="39" t="s">
        <v>1154</v>
      </c>
      <c r="E19" s="28" t="s">
        <v>1138</v>
      </c>
      <c r="F19" s="9"/>
    </row>
    <row r="20" spans="1:6" ht="25.5" customHeight="1" x14ac:dyDescent="0.2">
      <c r="A20" s="28">
        <v>16</v>
      </c>
      <c r="B20" s="9" t="s">
        <v>1155</v>
      </c>
      <c r="C20" s="9" t="s">
        <v>1156</v>
      </c>
      <c r="D20" s="38" t="s">
        <v>1137</v>
      </c>
      <c r="E20" s="28" t="s">
        <v>1157</v>
      </c>
      <c r="F20" s="9" t="s">
        <v>1158</v>
      </c>
    </row>
    <row r="21" spans="1:6" ht="25.5" customHeight="1" x14ac:dyDescent="0.2">
      <c r="A21" s="28">
        <v>17</v>
      </c>
      <c r="B21" s="9" t="s">
        <v>1155</v>
      </c>
      <c r="C21" s="9" t="s">
        <v>1159</v>
      </c>
      <c r="D21" s="38" t="s">
        <v>1137</v>
      </c>
      <c r="E21" s="28" t="s">
        <v>1157</v>
      </c>
      <c r="F21" s="9"/>
    </row>
    <row r="22" spans="1:6" ht="25.5" customHeight="1" x14ac:dyDescent="0.2">
      <c r="A22" s="28">
        <v>18</v>
      </c>
      <c r="B22" s="9" t="s">
        <v>1155</v>
      </c>
      <c r="C22" s="9" t="s">
        <v>1160</v>
      </c>
      <c r="D22" s="38" t="s">
        <v>1137</v>
      </c>
      <c r="E22" s="28" t="s">
        <v>1157</v>
      </c>
      <c r="F22" s="9"/>
    </row>
    <row r="23" spans="1:6" ht="25.5" customHeight="1" x14ac:dyDescent="0.2">
      <c r="A23" s="28">
        <v>19</v>
      </c>
      <c r="B23" s="9" t="s">
        <v>1161</v>
      </c>
      <c r="C23" s="9" t="s">
        <v>1162</v>
      </c>
      <c r="D23" s="38" t="s">
        <v>1137</v>
      </c>
      <c r="E23" s="28" t="s">
        <v>1138</v>
      </c>
      <c r="F23" s="9" t="s">
        <v>1163</v>
      </c>
    </row>
    <row r="24" spans="1:6" ht="25.5" customHeight="1" x14ac:dyDescent="0.2">
      <c r="A24" s="28">
        <v>20</v>
      </c>
      <c r="B24" s="9" t="s">
        <v>1164</v>
      </c>
      <c r="C24" s="9" t="s">
        <v>1165</v>
      </c>
      <c r="D24" s="40" t="s">
        <v>1166</v>
      </c>
      <c r="E24" s="28" t="s">
        <v>1157</v>
      </c>
      <c r="F24" s="9" t="s">
        <v>1167</v>
      </c>
    </row>
    <row r="25" spans="1:6" ht="25.5" customHeight="1" x14ac:dyDescent="0.2">
      <c r="A25" s="28">
        <v>21</v>
      </c>
      <c r="B25" s="9" t="s">
        <v>1164</v>
      </c>
      <c r="C25" s="9" t="s">
        <v>1168</v>
      </c>
      <c r="D25" s="40" t="s">
        <v>1166</v>
      </c>
      <c r="E25" s="28" t="s">
        <v>1157</v>
      </c>
      <c r="F25" s="9"/>
    </row>
    <row r="26" spans="1:6" ht="25.5" customHeight="1" x14ac:dyDescent="0.2">
      <c r="A26" s="28">
        <v>22</v>
      </c>
      <c r="B26" s="9" t="s">
        <v>1164</v>
      </c>
      <c r="C26" s="9" t="s">
        <v>1169</v>
      </c>
      <c r="D26" s="40" t="s">
        <v>1166</v>
      </c>
      <c r="E26" s="28" t="s">
        <v>1157</v>
      </c>
      <c r="F26" s="9"/>
    </row>
    <row r="27" spans="1:6" ht="25.5" customHeight="1" x14ac:dyDescent="0.2">
      <c r="A27" s="28">
        <v>23</v>
      </c>
      <c r="B27" s="9" t="s">
        <v>1164</v>
      </c>
      <c r="C27" s="9" t="s">
        <v>1170</v>
      </c>
      <c r="D27" s="40" t="s">
        <v>1166</v>
      </c>
      <c r="E27" s="28" t="s">
        <v>1157</v>
      </c>
      <c r="F27" s="9"/>
    </row>
    <row r="28" spans="1:6" ht="25.5" customHeight="1" x14ac:dyDescent="0.2">
      <c r="A28" s="28">
        <v>24</v>
      </c>
      <c r="B28" s="9" t="s">
        <v>1164</v>
      </c>
      <c r="C28" s="9" t="s">
        <v>1171</v>
      </c>
      <c r="D28" s="38" t="s">
        <v>1137</v>
      </c>
      <c r="E28" s="28" t="s">
        <v>1157</v>
      </c>
      <c r="F28" s="9"/>
    </row>
    <row r="29" spans="1:6" ht="25.5" customHeight="1" x14ac:dyDescent="0.2">
      <c r="A29" s="28">
        <v>25</v>
      </c>
      <c r="B29" s="9" t="s">
        <v>1164</v>
      </c>
      <c r="C29" s="9" t="s">
        <v>1172</v>
      </c>
      <c r="D29" s="40" t="s">
        <v>1173</v>
      </c>
      <c r="E29" s="28" t="s">
        <v>1157</v>
      </c>
      <c r="F29" s="9"/>
    </row>
    <row r="30" spans="1:6" ht="25.5" customHeight="1" x14ac:dyDescent="0.2">
      <c r="A30" s="28">
        <v>26</v>
      </c>
      <c r="B30" s="9" t="s">
        <v>1164</v>
      </c>
      <c r="C30" s="9" t="s">
        <v>1174</v>
      </c>
      <c r="D30" s="40" t="s">
        <v>1173</v>
      </c>
      <c r="E30" s="28" t="s">
        <v>1157</v>
      </c>
      <c r="F30" s="9"/>
    </row>
    <row r="31" spans="1:6" ht="25.5" customHeight="1" x14ac:dyDescent="0.2">
      <c r="A31" s="28">
        <v>27</v>
      </c>
      <c r="B31" s="9" t="s">
        <v>1164</v>
      </c>
      <c r="C31" s="9" t="s">
        <v>1175</v>
      </c>
      <c r="D31" s="38" t="s">
        <v>1137</v>
      </c>
      <c r="E31" s="28" t="s">
        <v>1157</v>
      </c>
      <c r="F31" s="9"/>
    </row>
    <row r="32" spans="1:6" ht="25.5" customHeight="1" x14ac:dyDescent="0.2">
      <c r="A32" s="28">
        <v>28</v>
      </c>
      <c r="B32" s="9" t="s">
        <v>1164</v>
      </c>
      <c r="C32" s="9" t="s">
        <v>1159</v>
      </c>
      <c r="D32" s="38" t="s">
        <v>1137</v>
      </c>
      <c r="E32" s="28" t="s">
        <v>1157</v>
      </c>
      <c r="F32" s="9"/>
    </row>
    <row r="33" spans="1:6" ht="25.5" customHeight="1" x14ac:dyDescent="0.2">
      <c r="A33" s="28">
        <v>29</v>
      </c>
      <c r="B33" s="9" t="s">
        <v>1164</v>
      </c>
      <c r="C33" s="9" t="s">
        <v>1176</v>
      </c>
      <c r="D33" s="38" t="s">
        <v>1137</v>
      </c>
      <c r="E33" s="28" t="s">
        <v>1157</v>
      </c>
      <c r="F33" s="9"/>
    </row>
    <row r="34" spans="1:6" ht="25.5" customHeight="1" x14ac:dyDescent="0.2">
      <c r="A34" s="28">
        <v>30</v>
      </c>
      <c r="B34" s="9" t="s">
        <v>1177</v>
      </c>
      <c r="C34" s="9" t="s">
        <v>1178</v>
      </c>
      <c r="D34" s="40" t="s">
        <v>1166</v>
      </c>
      <c r="E34" s="28" t="s">
        <v>1157</v>
      </c>
      <c r="F34" s="9" t="s">
        <v>1179</v>
      </c>
    </row>
    <row r="35" spans="1:6" ht="25.5" customHeight="1" x14ac:dyDescent="0.2">
      <c r="A35" s="28">
        <v>31</v>
      </c>
      <c r="B35" s="9" t="s">
        <v>1177</v>
      </c>
      <c r="C35" s="9" t="s">
        <v>1180</v>
      </c>
      <c r="D35" s="40" t="s">
        <v>1181</v>
      </c>
      <c r="E35" s="28" t="s">
        <v>1157</v>
      </c>
      <c r="F35" s="9"/>
    </row>
    <row r="36" spans="1:6" ht="25.5" customHeight="1" x14ac:dyDescent="0.2">
      <c r="A36" s="28">
        <v>32</v>
      </c>
      <c r="B36" s="9" t="s">
        <v>1177</v>
      </c>
      <c r="C36" s="9" t="s">
        <v>1182</v>
      </c>
      <c r="D36" s="40" t="s">
        <v>1181</v>
      </c>
      <c r="E36" s="28" t="s">
        <v>1157</v>
      </c>
      <c r="F36" s="9"/>
    </row>
    <row r="37" spans="1:6" ht="25.5" customHeight="1" x14ac:dyDescent="0.2">
      <c r="A37" s="28">
        <v>33</v>
      </c>
      <c r="B37" s="9" t="s">
        <v>1177</v>
      </c>
      <c r="C37" s="9" t="s">
        <v>1183</v>
      </c>
      <c r="D37" s="40" t="s">
        <v>1181</v>
      </c>
      <c r="E37" s="28" t="s">
        <v>1157</v>
      </c>
      <c r="F37" s="9"/>
    </row>
    <row r="38" spans="1:6" ht="25.5" customHeight="1" x14ac:dyDescent="0.2">
      <c r="A38" s="28">
        <v>34</v>
      </c>
      <c r="B38" s="9" t="s">
        <v>1177</v>
      </c>
      <c r="C38" s="9" t="s">
        <v>1184</v>
      </c>
      <c r="D38" s="40" t="s">
        <v>1173</v>
      </c>
      <c r="E38" s="28" t="s">
        <v>1157</v>
      </c>
      <c r="F38" s="9"/>
    </row>
    <row r="39" spans="1:6" ht="25.5" customHeight="1" x14ac:dyDescent="0.2">
      <c r="A39" s="28">
        <v>35</v>
      </c>
      <c r="B39" s="9" t="s">
        <v>1177</v>
      </c>
      <c r="C39" s="9" t="s">
        <v>1185</v>
      </c>
      <c r="D39" s="38" t="s">
        <v>1137</v>
      </c>
      <c r="E39" s="28" t="s">
        <v>1157</v>
      </c>
      <c r="F39" s="9"/>
    </row>
    <row r="40" spans="1:6" ht="25.5" customHeight="1" x14ac:dyDescent="0.2">
      <c r="A40" s="28">
        <v>36</v>
      </c>
      <c r="B40" s="9" t="s">
        <v>1177</v>
      </c>
      <c r="C40" s="9" t="s">
        <v>1186</v>
      </c>
      <c r="D40" s="40" t="s">
        <v>1173</v>
      </c>
      <c r="E40" s="28" t="s">
        <v>1157</v>
      </c>
      <c r="F40" s="9"/>
    </row>
    <row r="41" spans="1:6" ht="25.5" customHeight="1" x14ac:dyDescent="0.2">
      <c r="A41" s="28">
        <v>37</v>
      </c>
      <c r="B41" s="9" t="s">
        <v>1187</v>
      </c>
      <c r="C41" s="9" t="s">
        <v>1142</v>
      </c>
      <c r="D41" s="40" t="s">
        <v>1166</v>
      </c>
      <c r="E41" s="28" t="s">
        <v>1157</v>
      </c>
      <c r="F41" s="9" t="s">
        <v>1188</v>
      </c>
    </row>
    <row r="42" spans="1:6" ht="25.5" customHeight="1" x14ac:dyDescent="0.2">
      <c r="A42" s="28">
        <v>38</v>
      </c>
      <c r="B42" s="9" t="s">
        <v>1187</v>
      </c>
      <c r="C42" s="9" t="s">
        <v>1189</v>
      </c>
      <c r="D42" s="40" t="s">
        <v>1173</v>
      </c>
      <c r="E42" s="28" t="s">
        <v>1157</v>
      </c>
      <c r="F42" s="9"/>
    </row>
    <row r="43" spans="1:6" ht="25.5" customHeight="1" x14ac:dyDescent="0.2">
      <c r="A43" s="28">
        <v>39</v>
      </c>
      <c r="B43" s="9" t="s">
        <v>1187</v>
      </c>
      <c r="C43" s="9" t="s">
        <v>1190</v>
      </c>
      <c r="D43" s="40" t="s">
        <v>1191</v>
      </c>
      <c r="E43" s="28" t="s">
        <v>1157</v>
      </c>
      <c r="F43" s="9"/>
    </row>
    <row r="44" spans="1:6" ht="25.5" customHeight="1" x14ac:dyDescent="0.2">
      <c r="A44" s="28">
        <v>40</v>
      </c>
      <c r="B44" s="9" t="s">
        <v>1187</v>
      </c>
      <c r="C44" s="9" t="s">
        <v>1192</v>
      </c>
      <c r="D44" s="40" t="s">
        <v>1181</v>
      </c>
      <c r="E44" s="28" t="s">
        <v>1157</v>
      </c>
      <c r="F44" s="9"/>
    </row>
    <row r="45" spans="1:6" ht="25.5" customHeight="1" x14ac:dyDescent="0.2">
      <c r="A45" s="28">
        <v>41</v>
      </c>
      <c r="B45" s="9" t="s">
        <v>1187</v>
      </c>
      <c r="C45" s="9" t="s">
        <v>1193</v>
      </c>
      <c r="D45" s="40" t="s">
        <v>1181</v>
      </c>
      <c r="E45" s="28" t="s">
        <v>1157</v>
      </c>
      <c r="F45" s="9"/>
    </row>
    <row r="46" spans="1:6" ht="25.5" customHeight="1" x14ac:dyDescent="0.2">
      <c r="A46" s="28">
        <v>42</v>
      </c>
      <c r="B46" s="9" t="s">
        <v>1187</v>
      </c>
      <c r="C46" s="9" t="s">
        <v>1194</v>
      </c>
      <c r="D46" s="40" t="s">
        <v>1166</v>
      </c>
      <c r="E46" s="28" t="s">
        <v>1157</v>
      </c>
      <c r="F46" s="9"/>
    </row>
    <row r="47" spans="1:6" ht="25.5" customHeight="1" x14ac:dyDescent="0.2">
      <c r="A47" s="28">
        <v>43</v>
      </c>
      <c r="B47" s="9" t="s">
        <v>1195</v>
      </c>
      <c r="C47" s="9" t="s">
        <v>1140</v>
      </c>
      <c r="D47" s="38" t="s">
        <v>1196</v>
      </c>
      <c r="E47" s="28" t="s">
        <v>1138</v>
      </c>
      <c r="F47" s="9" t="s">
        <v>1197</v>
      </c>
    </row>
    <row r="48" spans="1:6" ht="25.5" customHeight="1" x14ac:dyDescent="0.2">
      <c r="A48" s="28">
        <v>44</v>
      </c>
      <c r="B48" s="9" t="s">
        <v>1195</v>
      </c>
      <c r="C48" s="9" t="s">
        <v>1198</v>
      </c>
      <c r="D48" s="40" t="s">
        <v>1191</v>
      </c>
      <c r="E48" s="28" t="s">
        <v>1138</v>
      </c>
      <c r="F48" s="9"/>
    </row>
    <row r="49" spans="1:6" ht="25.5" customHeight="1" x14ac:dyDescent="0.2">
      <c r="A49" s="28">
        <v>45</v>
      </c>
      <c r="B49" s="9" t="s">
        <v>1195</v>
      </c>
      <c r="C49" s="9" t="s">
        <v>1199</v>
      </c>
      <c r="D49" s="40" t="s">
        <v>1173</v>
      </c>
      <c r="E49" s="28" t="s">
        <v>1138</v>
      </c>
      <c r="F49" s="9"/>
    </row>
    <row r="50" spans="1:6" ht="25.5" customHeight="1" x14ac:dyDescent="0.2">
      <c r="A50" s="28">
        <v>46</v>
      </c>
      <c r="B50" s="9" t="s">
        <v>1195</v>
      </c>
      <c r="C50" s="9" t="s">
        <v>1200</v>
      </c>
      <c r="D50" s="40" t="s">
        <v>1191</v>
      </c>
      <c r="E50" s="28" t="s">
        <v>1138</v>
      </c>
      <c r="F50" s="9"/>
    </row>
    <row r="51" spans="1:6" ht="25.5" customHeight="1" x14ac:dyDescent="0.2">
      <c r="A51" s="28">
        <v>47</v>
      </c>
      <c r="B51" s="9" t="s">
        <v>1195</v>
      </c>
      <c r="C51" s="9" t="s">
        <v>1201</v>
      </c>
      <c r="D51" s="40" t="s">
        <v>1181</v>
      </c>
      <c r="E51" s="28" t="s">
        <v>1138</v>
      </c>
      <c r="F51" s="9"/>
    </row>
    <row r="52" spans="1:6" ht="25.5" customHeight="1" x14ac:dyDescent="0.2">
      <c r="A52" s="28">
        <v>48</v>
      </c>
      <c r="B52" s="9" t="s">
        <v>1195</v>
      </c>
      <c r="C52" s="9" t="s">
        <v>1202</v>
      </c>
      <c r="D52" s="40" t="s">
        <v>1203</v>
      </c>
      <c r="E52" s="28" t="s">
        <v>1138</v>
      </c>
      <c r="F52" s="9"/>
    </row>
    <row r="53" spans="1:6" ht="25.5" customHeight="1" x14ac:dyDescent="0.2">
      <c r="A53" s="28">
        <v>49</v>
      </c>
      <c r="B53" s="9" t="s">
        <v>1195</v>
      </c>
      <c r="C53" s="9" t="s">
        <v>1204</v>
      </c>
      <c r="D53" s="40" t="s">
        <v>1173</v>
      </c>
      <c r="E53" s="28" t="s">
        <v>1138</v>
      </c>
      <c r="F53" s="9"/>
    </row>
    <row r="54" spans="1:6" ht="25.5" customHeight="1" x14ac:dyDescent="0.2">
      <c r="A54" s="28">
        <v>50</v>
      </c>
      <c r="B54" s="9" t="s">
        <v>1195</v>
      </c>
      <c r="C54" s="9" t="s">
        <v>1205</v>
      </c>
      <c r="D54" s="40" t="s">
        <v>1191</v>
      </c>
      <c r="E54" s="28" t="s">
        <v>1138</v>
      </c>
      <c r="F54" s="9"/>
    </row>
    <row r="55" spans="1:6" ht="25.5" customHeight="1" x14ac:dyDescent="0.2">
      <c r="A55" s="28">
        <v>51</v>
      </c>
      <c r="B55" s="9" t="s">
        <v>1195</v>
      </c>
      <c r="C55" s="9" t="s">
        <v>1206</v>
      </c>
      <c r="D55" s="40" t="s">
        <v>1191</v>
      </c>
      <c r="E55" s="28" t="s">
        <v>1138</v>
      </c>
      <c r="F55" s="9"/>
    </row>
    <row r="56" spans="1:6" ht="25.5" customHeight="1" x14ac:dyDescent="0.2">
      <c r="A56" s="28">
        <v>52</v>
      </c>
      <c r="B56" s="9" t="s">
        <v>1207</v>
      </c>
      <c r="C56" s="9" t="s">
        <v>1208</v>
      </c>
      <c r="D56" s="41" t="s">
        <v>1209</v>
      </c>
      <c r="E56" s="28" t="s">
        <v>1210</v>
      </c>
      <c r="F56" s="9" t="s">
        <v>1211</v>
      </c>
    </row>
    <row r="57" spans="1:6" ht="25.5" customHeight="1" x14ac:dyDescent="0.2">
      <c r="A57" s="28">
        <v>53</v>
      </c>
      <c r="B57" s="9" t="s">
        <v>1212</v>
      </c>
      <c r="C57" s="9" t="s">
        <v>1208</v>
      </c>
      <c r="D57" s="41" t="s">
        <v>1209</v>
      </c>
      <c r="E57" s="28" t="s">
        <v>1210</v>
      </c>
      <c r="F57" s="9" t="s">
        <v>1213</v>
      </c>
    </row>
    <row r="58" spans="1:6" ht="25.5" customHeight="1" x14ac:dyDescent="0.2">
      <c r="A58" s="28">
        <v>54</v>
      </c>
      <c r="B58" s="9" t="s">
        <v>1214</v>
      </c>
      <c r="C58" s="9" t="s">
        <v>1215</v>
      </c>
      <c r="D58" s="39" t="s">
        <v>1216</v>
      </c>
      <c r="E58" s="28" t="s">
        <v>1210</v>
      </c>
      <c r="F58" s="9"/>
    </row>
    <row r="60" spans="1:6" ht="15" customHeight="1" x14ac:dyDescent="0.2">
      <c r="A60" s="62" t="s">
        <v>1217</v>
      </c>
      <c r="B60" s="62"/>
      <c r="C60" s="62"/>
      <c r="D60" s="62"/>
      <c r="E60" s="62"/>
      <c r="F60" s="62"/>
    </row>
  </sheetData>
  <mergeCells count="2">
    <mergeCell ref="A2:G2"/>
    <mergeCell ref="A60:F6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5"/>
  <sheetViews>
    <sheetView showGridLines="0" zoomScaleNormal="100" workbookViewId="0">
      <pane ySplit="4" topLeftCell="A12" activePane="bottomLeft" state="frozen"/>
      <selection pane="bottomLeft" activeCell="D41" sqref="D41"/>
    </sheetView>
  </sheetViews>
  <sheetFormatPr baseColWidth="10" defaultColWidth="8.6640625" defaultRowHeight="15" x14ac:dyDescent="0.2"/>
  <cols>
    <col min="1" max="1" width="12" customWidth="1"/>
    <col min="2" max="2" width="40" customWidth="1"/>
    <col min="3" max="4" width="9" customWidth="1"/>
    <col min="5" max="6" width="8" customWidth="1"/>
    <col min="7" max="7" width="9" customWidth="1"/>
    <col min="8" max="8" width="34" customWidth="1"/>
    <col min="9" max="9" width="9" customWidth="1"/>
  </cols>
  <sheetData>
    <row r="1" spans="1:9" ht="17.25" customHeight="1" x14ac:dyDescent="0.2">
      <c r="A1" s="7" t="s">
        <v>1218</v>
      </c>
    </row>
    <row r="2" spans="1:9" ht="39.75" customHeight="1" x14ac:dyDescent="0.2">
      <c r="A2" s="58" t="s">
        <v>1219</v>
      </c>
      <c r="B2" s="58"/>
      <c r="C2" s="58"/>
      <c r="D2" s="58"/>
      <c r="E2" s="58"/>
      <c r="F2" s="58"/>
      <c r="G2" s="58"/>
      <c r="H2" s="58"/>
      <c r="I2" s="58"/>
    </row>
    <row r="3" spans="1:9" ht="39.75" customHeight="1" x14ac:dyDescent="0.2">
      <c r="A3" s="63" t="s">
        <v>1220</v>
      </c>
      <c r="B3" s="63"/>
      <c r="C3" s="63"/>
      <c r="D3" s="63"/>
      <c r="E3" s="63"/>
      <c r="F3" s="63"/>
      <c r="G3" s="63"/>
      <c r="H3" s="63"/>
      <c r="I3" s="63"/>
    </row>
    <row r="4" spans="1:9" ht="15" customHeight="1" x14ac:dyDescent="0.2"/>
    <row r="5" spans="1:9" ht="15" customHeight="1" x14ac:dyDescent="0.2">
      <c r="A5" s="8" t="s">
        <v>1221</v>
      </c>
      <c r="B5" s="8" t="s">
        <v>1222</v>
      </c>
      <c r="C5" s="8" t="s">
        <v>1223</v>
      </c>
      <c r="D5" s="8" t="s">
        <v>1224</v>
      </c>
      <c r="E5" s="8" t="s">
        <v>1225</v>
      </c>
      <c r="F5" s="8" t="s">
        <v>1226</v>
      </c>
      <c r="G5" s="8" t="s">
        <v>1227</v>
      </c>
      <c r="H5" s="8" t="s">
        <v>1228</v>
      </c>
      <c r="I5" s="8" t="s">
        <v>1229</v>
      </c>
    </row>
    <row r="6" spans="1:9" ht="15" customHeight="1" x14ac:dyDescent="0.2">
      <c r="A6" s="9" t="s">
        <v>1230</v>
      </c>
      <c r="B6" s="9" t="s">
        <v>1231</v>
      </c>
      <c r="C6" s="24">
        <v>229</v>
      </c>
      <c r="D6" s="42">
        <v>99.22</v>
      </c>
      <c r="E6" s="42">
        <v>71</v>
      </c>
      <c r="F6" s="42">
        <v>1144</v>
      </c>
      <c r="G6" s="28"/>
      <c r="H6" s="9" t="s">
        <v>1232</v>
      </c>
      <c r="I6" s="31" t="s">
        <v>1233</v>
      </c>
    </row>
    <row r="7" spans="1:9" ht="15" customHeight="1" x14ac:dyDescent="0.2">
      <c r="A7" s="9" t="s">
        <v>1230</v>
      </c>
      <c r="B7" s="9" t="s">
        <v>1234</v>
      </c>
      <c r="C7" s="24">
        <v>59</v>
      </c>
      <c r="D7" s="42">
        <v>159.94999999999999</v>
      </c>
      <c r="E7" s="42">
        <v>117</v>
      </c>
      <c r="F7" s="42">
        <v>1144</v>
      </c>
      <c r="G7" s="42">
        <v>70.739999999999995</v>
      </c>
      <c r="H7" s="9"/>
      <c r="I7" s="31" t="s">
        <v>1233</v>
      </c>
    </row>
    <row r="8" spans="1:9" ht="15" customHeight="1" x14ac:dyDescent="0.2">
      <c r="A8" s="9" t="s">
        <v>1230</v>
      </c>
      <c r="B8" s="9" t="s">
        <v>1235</v>
      </c>
      <c r="C8" s="24">
        <v>5</v>
      </c>
      <c r="D8" s="42">
        <v>232.4</v>
      </c>
      <c r="E8" s="42">
        <v>228</v>
      </c>
      <c r="F8" s="42">
        <v>295</v>
      </c>
      <c r="G8" s="42">
        <v>69.8</v>
      </c>
      <c r="H8" s="9"/>
      <c r="I8" s="31" t="s">
        <v>1233</v>
      </c>
    </row>
    <row r="9" spans="1:9" ht="15" customHeight="1" x14ac:dyDescent="0.2">
      <c r="A9" s="9" t="s">
        <v>1230</v>
      </c>
      <c r="B9" s="9" t="s">
        <v>1236</v>
      </c>
      <c r="C9" s="24">
        <v>147</v>
      </c>
      <c r="D9" s="42">
        <v>75.62</v>
      </c>
      <c r="E9" s="42">
        <v>52</v>
      </c>
      <c r="F9" s="42">
        <v>490</v>
      </c>
      <c r="G9" s="42">
        <v>36.24</v>
      </c>
      <c r="H9" s="9"/>
      <c r="I9" s="43" t="s">
        <v>1237</v>
      </c>
    </row>
    <row r="10" spans="1:9" ht="15" customHeight="1" x14ac:dyDescent="0.2">
      <c r="A10" s="9" t="s">
        <v>1230</v>
      </c>
      <c r="B10" s="9" t="s">
        <v>1238</v>
      </c>
      <c r="C10" s="24">
        <v>3</v>
      </c>
      <c r="D10" s="42">
        <v>75</v>
      </c>
      <c r="E10" s="28"/>
      <c r="F10" s="42">
        <v>152</v>
      </c>
      <c r="G10" s="42">
        <v>28</v>
      </c>
      <c r="H10" s="9" t="s">
        <v>1239</v>
      </c>
      <c r="I10" s="44" t="s">
        <v>1240</v>
      </c>
    </row>
    <row r="11" spans="1:9" ht="15" customHeight="1" x14ac:dyDescent="0.2">
      <c r="A11" s="9" t="s">
        <v>1241</v>
      </c>
      <c r="B11" s="9" t="s">
        <v>1242</v>
      </c>
      <c r="C11" s="24">
        <v>6908</v>
      </c>
      <c r="D11" s="42">
        <v>101.92</v>
      </c>
      <c r="E11" s="42">
        <v>44</v>
      </c>
      <c r="F11" s="42">
        <v>1228</v>
      </c>
      <c r="G11" s="28"/>
      <c r="H11" s="9" t="s">
        <v>1243</v>
      </c>
      <c r="I11" s="31" t="s">
        <v>1233</v>
      </c>
    </row>
    <row r="12" spans="1:9" ht="15" customHeight="1" x14ac:dyDescent="0.2">
      <c r="A12" s="9" t="s">
        <v>1241</v>
      </c>
      <c r="B12" s="9" t="s">
        <v>1244</v>
      </c>
      <c r="C12" s="24">
        <v>898</v>
      </c>
      <c r="D12" s="42">
        <v>138.5</v>
      </c>
      <c r="E12" s="42">
        <v>90</v>
      </c>
      <c r="F12" s="42">
        <v>859</v>
      </c>
      <c r="G12" s="42">
        <v>200.95</v>
      </c>
      <c r="H12" s="9" t="s">
        <v>1245</v>
      </c>
      <c r="I12" s="31" t="s">
        <v>1233</v>
      </c>
    </row>
    <row r="13" spans="1:9" ht="15" customHeight="1" x14ac:dyDescent="0.2">
      <c r="A13" s="9" t="s">
        <v>1241</v>
      </c>
      <c r="B13" s="9" t="s">
        <v>1246</v>
      </c>
      <c r="C13" s="24">
        <v>129</v>
      </c>
      <c r="D13" s="42">
        <v>63.36</v>
      </c>
      <c r="E13" s="42">
        <v>26</v>
      </c>
      <c r="F13" s="42">
        <v>440</v>
      </c>
      <c r="G13" s="42">
        <v>112.67</v>
      </c>
      <c r="H13" s="9"/>
      <c r="I13" s="43" t="s">
        <v>1237</v>
      </c>
    </row>
    <row r="14" spans="1:9" ht="15" customHeight="1" x14ac:dyDescent="0.2">
      <c r="A14" s="9" t="s">
        <v>1241</v>
      </c>
      <c r="B14" s="9" t="s">
        <v>506</v>
      </c>
      <c r="C14" s="24">
        <v>3469</v>
      </c>
      <c r="D14" s="42">
        <v>83.7</v>
      </c>
      <c r="E14" s="42">
        <v>32</v>
      </c>
      <c r="F14" s="42">
        <v>1228</v>
      </c>
      <c r="G14" s="42">
        <v>78.959999999999994</v>
      </c>
      <c r="H14" s="9"/>
      <c r="I14" s="43" t="s">
        <v>1237</v>
      </c>
    </row>
    <row r="15" spans="1:9" ht="15" customHeight="1" x14ac:dyDescent="0.2">
      <c r="A15" s="9" t="s">
        <v>1241</v>
      </c>
      <c r="B15" s="9" t="s">
        <v>436</v>
      </c>
      <c r="C15" s="24">
        <v>214</v>
      </c>
      <c r="D15" s="42">
        <v>282.26</v>
      </c>
      <c r="E15" s="42">
        <v>197</v>
      </c>
      <c r="F15" s="42">
        <v>1218</v>
      </c>
      <c r="G15" s="42">
        <v>199.42</v>
      </c>
      <c r="H15" s="9"/>
      <c r="I15" s="31" t="s">
        <v>1233</v>
      </c>
    </row>
    <row r="16" spans="1:9" ht="21.75" customHeight="1" x14ac:dyDescent="0.2">
      <c r="A16" s="9" t="s">
        <v>1241</v>
      </c>
      <c r="B16" s="9" t="s">
        <v>404</v>
      </c>
      <c r="C16" s="24">
        <v>1315</v>
      </c>
      <c r="D16" s="42">
        <v>131.32</v>
      </c>
      <c r="E16" s="42">
        <v>90</v>
      </c>
      <c r="F16" s="42">
        <v>1093</v>
      </c>
      <c r="G16" s="42">
        <v>100.19</v>
      </c>
      <c r="H16" s="9"/>
      <c r="I16" s="31" t="s">
        <v>1233</v>
      </c>
    </row>
    <row r="17" spans="1:9" ht="21.75" customHeight="1" x14ac:dyDescent="0.2">
      <c r="A17" s="9" t="s">
        <v>1247</v>
      </c>
      <c r="B17" s="9" t="s">
        <v>1248</v>
      </c>
      <c r="C17" s="24">
        <v>120</v>
      </c>
      <c r="D17" s="42">
        <v>864.22</v>
      </c>
      <c r="E17" s="42">
        <v>989</v>
      </c>
      <c r="F17" s="42">
        <v>1113</v>
      </c>
      <c r="G17" s="28"/>
      <c r="H17" s="9" t="s">
        <v>1249</v>
      </c>
      <c r="I17" s="31" t="s">
        <v>1233</v>
      </c>
    </row>
    <row r="18" spans="1:9" ht="21.75" customHeight="1" x14ac:dyDescent="0.2">
      <c r="A18" s="9" t="s">
        <v>1247</v>
      </c>
      <c r="B18" s="9" t="s">
        <v>277</v>
      </c>
      <c r="C18" s="24">
        <v>72</v>
      </c>
      <c r="D18" s="42">
        <v>953.72</v>
      </c>
      <c r="E18" s="42">
        <v>990</v>
      </c>
      <c r="F18" s="42">
        <v>1065</v>
      </c>
      <c r="G18" s="42">
        <v>117</v>
      </c>
      <c r="H18" s="9"/>
      <c r="I18" s="31" t="s">
        <v>1233</v>
      </c>
    </row>
    <row r="19" spans="1:9" ht="21.75" customHeight="1" x14ac:dyDescent="0.2">
      <c r="A19" s="9" t="s">
        <v>1247</v>
      </c>
      <c r="B19" s="9" t="s">
        <v>1250</v>
      </c>
      <c r="C19" s="24">
        <v>29</v>
      </c>
      <c r="D19" s="42">
        <v>960.79</v>
      </c>
      <c r="E19" s="42">
        <v>993</v>
      </c>
      <c r="F19" s="42">
        <v>1066</v>
      </c>
      <c r="G19" s="28"/>
      <c r="H19" s="9"/>
      <c r="I19" s="31" t="s">
        <v>1233</v>
      </c>
    </row>
    <row r="20" spans="1:9" ht="21.75" customHeight="1" x14ac:dyDescent="0.2">
      <c r="A20" s="9" t="s">
        <v>1247</v>
      </c>
      <c r="B20" s="9" t="s">
        <v>1251</v>
      </c>
      <c r="C20" s="24">
        <v>357</v>
      </c>
      <c r="D20" s="42">
        <v>733.19</v>
      </c>
      <c r="E20" s="42">
        <v>310</v>
      </c>
      <c r="F20" s="42">
        <v>2320</v>
      </c>
      <c r="G20" s="28"/>
      <c r="H20" s="9" t="s">
        <v>1252</v>
      </c>
      <c r="I20" s="31" t="s">
        <v>1233</v>
      </c>
    </row>
    <row r="21" spans="1:9" ht="21.75" customHeight="1" x14ac:dyDescent="0.2">
      <c r="A21" s="9" t="s">
        <v>1247</v>
      </c>
      <c r="B21" s="9" t="s">
        <v>1253</v>
      </c>
      <c r="C21" s="24">
        <v>136</v>
      </c>
      <c r="D21" s="42">
        <v>959.57</v>
      </c>
      <c r="E21" s="42">
        <v>437</v>
      </c>
      <c r="F21" s="42">
        <v>2320</v>
      </c>
      <c r="G21" s="42">
        <v>125.72</v>
      </c>
      <c r="H21" s="9"/>
      <c r="I21" s="31" t="s">
        <v>1233</v>
      </c>
    </row>
    <row r="22" spans="1:9" ht="21.75" customHeight="1" x14ac:dyDescent="0.2">
      <c r="A22" s="9" t="s">
        <v>1247</v>
      </c>
      <c r="B22" s="9" t="s">
        <v>1254</v>
      </c>
      <c r="C22" s="24">
        <v>1</v>
      </c>
      <c r="D22" s="42">
        <v>0</v>
      </c>
      <c r="E22" s="42">
        <v>0</v>
      </c>
      <c r="F22" s="42">
        <v>0</v>
      </c>
      <c r="G22" s="28"/>
      <c r="H22" s="9" t="s">
        <v>1255</v>
      </c>
      <c r="I22" s="43" t="s">
        <v>1237</v>
      </c>
    </row>
    <row r="23" spans="1:9" ht="21.75" customHeight="1" x14ac:dyDescent="0.2">
      <c r="A23" s="9" t="s">
        <v>1247</v>
      </c>
      <c r="B23" s="9" t="s">
        <v>1256</v>
      </c>
      <c r="C23" s="24">
        <v>14</v>
      </c>
      <c r="D23" s="42">
        <v>2.86</v>
      </c>
      <c r="E23" s="42">
        <v>0</v>
      </c>
      <c r="F23" s="42">
        <v>33</v>
      </c>
      <c r="G23" s="28"/>
      <c r="H23" s="9" t="s">
        <v>1257</v>
      </c>
      <c r="I23" s="43" t="s">
        <v>1237</v>
      </c>
    </row>
    <row r="24" spans="1:9" ht="15" customHeight="1" x14ac:dyDescent="0.2">
      <c r="A24" s="9" t="s">
        <v>1258</v>
      </c>
      <c r="B24" s="9" t="s">
        <v>1259</v>
      </c>
      <c r="C24" s="24">
        <v>6389</v>
      </c>
      <c r="D24" s="42">
        <v>137.43</v>
      </c>
      <c r="E24" s="42">
        <v>30</v>
      </c>
      <c r="F24" s="42">
        <v>1213</v>
      </c>
      <c r="G24" s="28"/>
      <c r="H24" s="9" t="s">
        <v>1260</v>
      </c>
      <c r="I24" s="31" t="s">
        <v>1233</v>
      </c>
    </row>
    <row r="25" spans="1:9" ht="15" customHeight="1" x14ac:dyDescent="0.2">
      <c r="A25" s="9" t="s">
        <v>1258</v>
      </c>
      <c r="B25" s="9" t="s">
        <v>1261</v>
      </c>
      <c r="C25" s="24">
        <v>5084</v>
      </c>
      <c r="D25" s="42">
        <v>148.15</v>
      </c>
      <c r="E25" s="42">
        <v>39</v>
      </c>
      <c r="F25" s="42">
        <v>1196</v>
      </c>
      <c r="G25" s="42">
        <v>81</v>
      </c>
      <c r="H25" s="9"/>
      <c r="I25" s="31" t="s">
        <v>1233</v>
      </c>
    </row>
    <row r="26" spans="1:9" ht="21.75" customHeight="1" x14ac:dyDescent="0.2">
      <c r="A26" s="9" t="s">
        <v>1258</v>
      </c>
      <c r="B26" s="9" t="s">
        <v>1262</v>
      </c>
      <c r="C26" s="24">
        <v>252</v>
      </c>
      <c r="D26" s="42">
        <v>200.47</v>
      </c>
      <c r="E26" s="42">
        <v>109</v>
      </c>
      <c r="F26" s="42">
        <v>684</v>
      </c>
      <c r="G26" s="42">
        <v>56.3</v>
      </c>
      <c r="H26" s="9"/>
      <c r="I26" s="31" t="s">
        <v>1233</v>
      </c>
    </row>
    <row r="27" spans="1:9" ht="15" customHeight="1" x14ac:dyDescent="0.2">
      <c r="A27" s="9" t="s">
        <v>1258</v>
      </c>
      <c r="B27" s="9" t="s">
        <v>1263</v>
      </c>
      <c r="C27" s="24">
        <v>2605</v>
      </c>
      <c r="D27" s="42">
        <v>41.39</v>
      </c>
      <c r="E27" s="42">
        <v>13</v>
      </c>
      <c r="F27" s="42">
        <v>1151</v>
      </c>
      <c r="G27" s="28"/>
      <c r="H27" s="9" t="s">
        <v>1264</v>
      </c>
      <c r="I27" s="43" t="s">
        <v>1237</v>
      </c>
    </row>
    <row r="28" spans="1:9" ht="15" customHeight="1" x14ac:dyDescent="0.2">
      <c r="A28" s="9" t="s">
        <v>1258</v>
      </c>
      <c r="B28" s="9" t="s">
        <v>1265</v>
      </c>
      <c r="C28" s="24">
        <v>2086</v>
      </c>
      <c r="D28" s="42">
        <v>24.58</v>
      </c>
      <c r="E28" s="42">
        <v>11</v>
      </c>
      <c r="F28" s="42">
        <v>658</v>
      </c>
      <c r="G28" s="42">
        <v>27.35</v>
      </c>
      <c r="H28" s="9"/>
      <c r="I28" s="43" t="s">
        <v>1237</v>
      </c>
    </row>
    <row r="29" spans="1:9" ht="15" customHeight="1" x14ac:dyDescent="0.2">
      <c r="A29" s="9" t="s">
        <v>1258</v>
      </c>
      <c r="B29" s="9" t="s">
        <v>1266</v>
      </c>
      <c r="C29" s="24">
        <v>1039</v>
      </c>
      <c r="D29" s="42">
        <v>33.61</v>
      </c>
      <c r="E29" s="42">
        <v>2</v>
      </c>
      <c r="F29" s="42">
        <v>451</v>
      </c>
      <c r="G29" s="28"/>
      <c r="H29" s="9" t="s">
        <v>1267</v>
      </c>
      <c r="I29" s="43" t="s">
        <v>1237</v>
      </c>
    </row>
    <row r="30" spans="1:9" ht="15" customHeight="1" x14ac:dyDescent="0.2">
      <c r="A30" s="9" t="s">
        <v>1258</v>
      </c>
      <c r="B30" s="9" t="s">
        <v>395</v>
      </c>
      <c r="C30" s="24">
        <v>647</v>
      </c>
      <c r="D30" s="42">
        <v>29.74</v>
      </c>
      <c r="E30" s="42">
        <v>0</v>
      </c>
      <c r="F30" s="42">
        <v>401</v>
      </c>
      <c r="G30" s="42">
        <v>79.12</v>
      </c>
      <c r="H30" s="9"/>
      <c r="I30" s="43" t="s">
        <v>1237</v>
      </c>
    </row>
    <row r="31" spans="1:9" ht="15" customHeight="1" x14ac:dyDescent="0.2">
      <c r="A31" s="9" t="s">
        <v>1258</v>
      </c>
      <c r="B31" s="9" t="s">
        <v>1268</v>
      </c>
      <c r="C31" s="24">
        <v>83</v>
      </c>
      <c r="D31" s="42">
        <v>110.47</v>
      </c>
      <c r="E31" s="42">
        <v>98</v>
      </c>
      <c r="F31" s="42">
        <v>451</v>
      </c>
      <c r="G31" s="42">
        <v>24.8</v>
      </c>
      <c r="H31" s="9"/>
      <c r="I31" s="31" t="s">
        <v>1233</v>
      </c>
    </row>
    <row r="32" spans="1:9" ht="15" customHeight="1" x14ac:dyDescent="0.2">
      <c r="A32" s="9" t="s">
        <v>1258</v>
      </c>
      <c r="B32" s="9" t="s">
        <v>1269</v>
      </c>
      <c r="C32" s="24">
        <v>208</v>
      </c>
      <c r="D32" s="42">
        <v>71.150000000000006</v>
      </c>
      <c r="E32" s="42">
        <v>21</v>
      </c>
      <c r="F32" s="42">
        <v>1219</v>
      </c>
      <c r="G32" s="28"/>
      <c r="H32" s="9" t="s">
        <v>1270</v>
      </c>
      <c r="I32" s="43" t="s">
        <v>1237</v>
      </c>
    </row>
    <row r="33" spans="1:9" ht="15" customHeight="1" x14ac:dyDescent="0.2">
      <c r="A33" s="9" t="s">
        <v>1258</v>
      </c>
      <c r="B33" s="9" t="s">
        <v>1271</v>
      </c>
      <c r="C33" s="24">
        <v>48</v>
      </c>
      <c r="D33" s="42">
        <v>179.31</v>
      </c>
      <c r="E33" s="42">
        <v>114</v>
      </c>
      <c r="F33" s="42">
        <v>991</v>
      </c>
      <c r="G33" s="42">
        <v>201.45</v>
      </c>
      <c r="H33" s="9"/>
      <c r="I33" s="31" t="s">
        <v>1233</v>
      </c>
    </row>
    <row r="34" spans="1:9" ht="15" customHeight="1" x14ac:dyDescent="0.2">
      <c r="A34" s="9" t="s">
        <v>1258</v>
      </c>
      <c r="B34" s="9" t="s">
        <v>1272</v>
      </c>
      <c r="C34" s="24">
        <v>14490</v>
      </c>
      <c r="D34" s="42">
        <v>5.14</v>
      </c>
      <c r="E34" s="42">
        <v>1</v>
      </c>
      <c r="F34" s="42">
        <v>1177</v>
      </c>
      <c r="G34" s="28"/>
      <c r="H34" s="9" t="s">
        <v>1273</v>
      </c>
      <c r="I34" s="43" t="s">
        <v>1237</v>
      </c>
    </row>
    <row r="35" spans="1:9" ht="15" customHeight="1" x14ac:dyDescent="0.2">
      <c r="A35" s="9" t="s">
        <v>1258</v>
      </c>
      <c r="B35" s="9" t="s">
        <v>509</v>
      </c>
      <c r="C35" s="24">
        <v>13995</v>
      </c>
      <c r="D35" s="42">
        <v>1.85</v>
      </c>
      <c r="E35" s="42">
        <v>1</v>
      </c>
      <c r="F35" s="42">
        <v>179</v>
      </c>
      <c r="G35" s="28"/>
      <c r="H35" s="9"/>
      <c r="I35" s="43" t="s">
        <v>1237</v>
      </c>
    </row>
    <row r="36" spans="1:9" ht="15" customHeight="1" x14ac:dyDescent="0.2">
      <c r="A36" s="9" t="s">
        <v>1258</v>
      </c>
      <c r="B36" s="9" t="s">
        <v>1274</v>
      </c>
      <c r="C36" s="24">
        <v>359</v>
      </c>
      <c r="D36" s="42">
        <v>105.35</v>
      </c>
      <c r="E36" s="42">
        <v>22</v>
      </c>
      <c r="F36" s="42">
        <v>1177</v>
      </c>
      <c r="G36" s="42">
        <v>256.57</v>
      </c>
      <c r="H36" s="9"/>
      <c r="I36" s="31" t="s">
        <v>1233</v>
      </c>
    </row>
    <row r="37" spans="1:9" ht="21.75" customHeight="1" x14ac:dyDescent="0.2">
      <c r="A37" s="9" t="s">
        <v>1258</v>
      </c>
      <c r="B37" s="9" t="s">
        <v>203</v>
      </c>
      <c r="C37" s="24">
        <v>79</v>
      </c>
      <c r="D37" s="42">
        <v>77.61</v>
      </c>
      <c r="E37" s="42">
        <v>35</v>
      </c>
      <c r="F37" s="42">
        <v>875</v>
      </c>
      <c r="G37" s="42">
        <v>23.67</v>
      </c>
      <c r="H37" s="9"/>
      <c r="I37" s="43" t="s">
        <v>1237</v>
      </c>
    </row>
    <row r="38" spans="1:9" ht="21.75" customHeight="1" x14ac:dyDescent="0.2">
      <c r="A38" s="9" t="s">
        <v>1275</v>
      </c>
      <c r="B38" s="9" t="s">
        <v>1276</v>
      </c>
      <c r="C38" s="24">
        <v>93133</v>
      </c>
      <c r="D38" s="42">
        <v>19.16</v>
      </c>
      <c r="E38" s="42">
        <v>7</v>
      </c>
      <c r="F38" s="42">
        <v>1211</v>
      </c>
      <c r="G38" s="28"/>
      <c r="H38" s="9" t="s">
        <v>1277</v>
      </c>
      <c r="I38" s="43" t="s">
        <v>1237</v>
      </c>
    </row>
    <row r="39" spans="1:9" ht="21.75" customHeight="1" x14ac:dyDescent="0.2">
      <c r="A39" s="9" t="s">
        <v>1275</v>
      </c>
      <c r="B39" s="9" t="s">
        <v>1278</v>
      </c>
      <c r="C39" s="24">
        <v>22161</v>
      </c>
      <c r="D39" s="42">
        <v>43.48</v>
      </c>
      <c r="E39" s="42">
        <v>30</v>
      </c>
      <c r="F39" s="42">
        <v>1186</v>
      </c>
      <c r="G39" s="42">
        <v>18.37</v>
      </c>
      <c r="H39" s="9"/>
      <c r="I39" s="43" t="s">
        <v>1237</v>
      </c>
    </row>
    <row r="40" spans="1:9" ht="21.75" customHeight="1" x14ac:dyDescent="0.2">
      <c r="A40" s="9" t="s">
        <v>1275</v>
      </c>
      <c r="B40" s="9" t="s">
        <v>1279</v>
      </c>
      <c r="C40" s="24">
        <v>28380</v>
      </c>
      <c r="D40" s="42">
        <v>13.86</v>
      </c>
      <c r="E40" s="42">
        <v>5</v>
      </c>
      <c r="F40" s="42">
        <v>937</v>
      </c>
      <c r="G40" s="42">
        <v>46.52</v>
      </c>
      <c r="H40" s="9"/>
      <c r="I40" s="43" t="s">
        <v>1237</v>
      </c>
    </row>
    <row r="41" spans="1:9" ht="21.75" customHeight="1" x14ac:dyDescent="0.2">
      <c r="A41" s="9" t="s">
        <v>1275</v>
      </c>
      <c r="B41" s="9" t="s">
        <v>1280</v>
      </c>
      <c r="C41" s="28"/>
      <c r="D41" s="42">
        <v>118.57</v>
      </c>
      <c r="E41" s="28"/>
      <c r="F41" s="28"/>
      <c r="G41" s="28"/>
      <c r="H41" s="9"/>
      <c r="I41" s="31" t="s">
        <v>1233</v>
      </c>
    </row>
    <row r="42" spans="1:9" ht="26" x14ac:dyDescent="0.2">
      <c r="A42" s="9" t="s">
        <v>1281</v>
      </c>
      <c r="B42" s="9" t="s">
        <v>1282</v>
      </c>
      <c r="C42" s="24">
        <v>1196</v>
      </c>
      <c r="D42" s="42">
        <v>51.94</v>
      </c>
      <c r="E42" s="42">
        <v>16</v>
      </c>
      <c r="F42" s="42">
        <v>316</v>
      </c>
      <c r="G42" s="42">
        <v>25.01</v>
      </c>
      <c r="H42" s="9" t="s">
        <v>1283</v>
      </c>
      <c r="I42" s="43" t="s">
        <v>1237</v>
      </c>
    </row>
    <row r="43" spans="1:9" ht="15" customHeight="1" x14ac:dyDescent="0.2">
      <c r="A43" s="64"/>
      <c r="B43" s="64"/>
      <c r="C43" s="64"/>
      <c r="D43" s="64"/>
      <c r="E43" s="64"/>
      <c r="F43" s="64"/>
      <c r="G43" s="64"/>
      <c r="H43" s="64"/>
      <c r="I43" s="64"/>
    </row>
    <row r="44" spans="1:9" ht="15" customHeight="1" x14ac:dyDescent="0.2">
      <c r="A44" s="64" t="s">
        <v>1284</v>
      </c>
      <c r="B44" s="64"/>
      <c r="C44" s="64"/>
      <c r="D44" s="64"/>
      <c r="E44" s="64"/>
      <c r="F44" s="64"/>
      <c r="G44" s="64"/>
      <c r="H44" s="64"/>
      <c r="I44" s="64"/>
    </row>
    <row r="45" spans="1:9" ht="15" customHeight="1" x14ac:dyDescent="0.2">
      <c r="A45" s="64"/>
      <c r="B45" s="64"/>
      <c r="C45" s="64"/>
      <c r="D45" s="64"/>
      <c r="E45" s="64"/>
      <c r="F45" s="64"/>
      <c r="G45" s="64"/>
      <c r="H45" s="64"/>
      <c r="I45" s="64"/>
    </row>
  </sheetData>
  <mergeCells count="3">
    <mergeCell ref="A2:I2"/>
    <mergeCell ref="A3:I3"/>
    <mergeCell ref="A43:I4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8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60" customWidth="1"/>
  </cols>
  <sheetData>
    <row r="1" spans="1:1" ht="15.75" customHeight="1" x14ac:dyDescent="0.2">
      <c r="A1" s="15" t="s">
        <v>1285</v>
      </c>
    </row>
    <row r="3" spans="1:1" ht="15" customHeight="1" x14ac:dyDescent="0.2">
      <c r="A3" s="45" t="s">
        <v>1286</v>
      </c>
    </row>
    <row r="4" spans="1:1" ht="15" customHeight="1" x14ac:dyDescent="0.2">
      <c r="A4" s="45" t="s">
        <v>1287</v>
      </c>
    </row>
    <row r="5" spans="1:1" ht="15" customHeight="1" x14ac:dyDescent="0.2">
      <c r="A5" s="45"/>
    </row>
    <row r="6" spans="1:1" ht="15" customHeight="1" x14ac:dyDescent="0.2">
      <c r="A6" s="46" t="s">
        <v>1288</v>
      </c>
    </row>
    <row r="7" spans="1:1" ht="15" customHeight="1" x14ac:dyDescent="0.2">
      <c r="A7" s="1" t="s">
        <v>1289</v>
      </c>
    </row>
    <row r="8" spans="1:1" ht="15" customHeight="1" x14ac:dyDescent="0.2">
      <c r="A8" s="45" t="s">
        <v>1290</v>
      </c>
    </row>
    <row r="9" spans="1:1" ht="15" customHeight="1" x14ac:dyDescent="0.2">
      <c r="A9" s="45" t="s">
        <v>1291</v>
      </c>
    </row>
    <row r="10" spans="1:1" ht="15" customHeight="1" x14ac:dyDescent="0.2">
      <c r="A10" s="45" t="s">
        <v>1292</v>
      </c>
    </row>
    <row r="11" spans="1:1" ht="15" customHeight="1" x14ac:dyDescent="0.2">
      <c r="A11" s="45" t="s">
        <v>1293</v>
      </c>
    </row>
    <row r="12" spans="1:1" ht="15" customHeight="1" x14ac:dyDescent="0.2">
      <c r="A12" s="45" t="s">
        <v>1294</v>
      </c>
    </row>
    <row r="13" spans="1:1" ht="15" customHeight="1" x14ac:dyDescent="0.2">
      <c r="A13" s="45" t="s">
        <v>1295</v>
      </c>
    </row>
    <row r="14" spans="1:1" ht="15" customHeight="1" x14ac:dyDescent="0.2">
      <c r="A14" s="45" t="s">
        <v>1296</v>
      </c>
    </row>
    <row r="15" spans="1:1" ht="15" customHeight="1" x14ac:dyDescent="0.2">
      <c r="A15" s="45" t="s">
        <v>1297</v>
      </c>
    </row>
    <row r="16" spans="1:1" ht="15" customHeight="1" x14ac:dyDescent="0.2">
      <c r="A16" s="45" t="s">
        <v>1298</v>
      </c>
    </row>
    <row r="17" spans="1:1" ht="15" customHeight="1" x14ac:dyDescent="0.2">
      <c r="A17" s="45" t="s">
        <v>1299</v>
      </c>
    </row>
    <row r="18" spans="1:1" ht="15" customHeight="1" x14ac:dyDescent="0.2">
      <c r="A18" s="45" t="s">
        <v>1300</v>
      </c>
    </row>
    <row r="19" spans="1:1" ht="15" customHeight="1" x14ac:dyDescent="0.2">
      <c r="A19" s="45" t="s">
        <v>1301</v>
      </c>
    </row>
    <row r="20" spans="1:1" ht="15" customHeight="1" x14ac:dyDescent="0.2">
      <c r="A20" s="45" t="s">
        <v>1302</v>
      </c>
    </row>
    <row r="21" spans="1:1" ht="15" customHeight="1" x14ac:dyDescent="0.2">
      <c r="A21" s="1" t="s">
        <v>1303</v>
      </c>
    </row>
    <row r="22" spans="1:1" ht="15" customHeight="1" x14ac:dyDescent="0.2">
      <c r="A22" s="45" t="s">
        <v>1304</v>
      </c>
    </row>
    <row r="23" spans="1:1" ht="15" customHeight="1" x14ac:dyDescent="0.2">
      <c r="A23" s="45" t="s">
        <v>1305</v>
      </c>
    </row>
    <row r="24" spans="1:1" ht="15" customHeight="1" x14ac:dyDescent="0.2">
      <c r="A24" s="45" t="s">
        <v>1306</v>
      </c>
    </row>
    <row r="25" spans="1:1" ht="15" customHeight="1" x14ac:dyDescent="0.2">
      <c r="A25" s="45" t="s">
        <v>1307</v>
      </c>
    </row>
    <row r="26" spans="1:1" ht="15" customHeight="1" x14ac:dyDescent="0.2">
      <c r="A26" s="45" t="s">
        <v>1308</v>
      </c>
    </row>
    <row r="27" spans="1:1" ht="15" customHeight="1" x14ac:dyDescent="0.2">
      <c r="A27" s="45" t="s">
        <v>1309</v>
      </c>
    </row>
    <row r="28" spans="1:1" ht="15" customHeight="1" x14ac:dyDescent="0.2">
      <c r="A28" s="45" t="s">
        <v>1310</v>
      </c>
    </row>
    <row r="29" spans="1:1" ht="15" customHeight="1" x14ac:dyDescent="0.2">
      <c r="A29" s="45" t="s">
        <v>1311</v>
      </c>
    </row>
    <row r="30" spans="1:1" ht="15" customHeight="1" x14ac:dyDescent="0.2">
      <c r="A30" s="45" t="s">
        <v>1312</v>
      </c>
    </row>
    <row r="31" spans="1:1" ht="15" customHeight="1" x14ac:dyDescent="0.2">
      <c r="A31" s="45" t="s">
        <v>1313</v>
      </c>
    </row>
    <row r="32" spans="1:1" ht="15" customHeight="1" x14ac:dyDescent="0.2">
      <c r="A32" s="45" t="s">
        <v>1314</v>
      </c>
    </row>
    <row r="33" spans="1:1" ht="15" customHeight="1" x14ac:dyDescent="0.2">
      <c r="A33" s="45" t="s">
        <v>1315</v>
      </c>
    </row>
    <row r="34" spans="1:1" ht="15" customHeight="1" x14ac:dyDescent="0.2">
      <c r="A34" s="45" t="s">
        <v>1316</v>
      </c>
    </row>
    <row r="35" spans="1:1" ht="15" customHeight="1" x14ac:dyDescent="0.2">
      <c r="A35" s="45" t="s">
        <v>1317</v>
      </c>
    </row>
    <row r="36" spans="1:1" ht="15" customHeight="1" x14ac:dyDescent="0.2">
      <c r="A36" s="1" t="s">
        <v>1318</v>
      </c>
    </row>
    <row r="37" spans="1:1" ht="15" customHeight="1" x14ac:dyDescent="0.2">
      <c r="A37" s="45" t="s">
        <v>1319</v>
      </c>
    </row>
    <row r="38" spans="1:1" ht="15" customHeight="1" x14ac:dyDescent="0.2">
      <c r="A38" s="45" t="s">
        <v>1320</v>
      </c>
    </row>
    <row r="39" spans="1:1" ht="15" customHeight="1" x14ac:dyDescent="0.2">
      <c r="A39" s="45" t="s">
        <v>1321</v>
      </c>
    </row>
    <row r="40" spans="1:1" ht="15" customHeight="1" x14ac:dyDescent="0.2">
      <c r="A40" s="45" t="s">
        <v>1322</v>
      </c>
    </row>
    <row r="41" spans="1:1" ht="15" customHeight="1" x14ac:dyDescent="0.2">
      <c r="A41" s="45" t="s">
        <v>1323</v>
      </c>
    </row>
    <row r="42" spans="1:1" ht="15" customHeight="1" x14ac:dyDescent="0.2">
      <c r="A42" s="45" t="s">
        <v>1324</v>
      </c>
    </row>
    <row r="43" spans="1:1" ht="15" customHeight="1" x14ac:dyDescent="0.2">
      <c r="A43" s="45" t="s">
        <v>1325</v>
      </c>
    </row>
    <row r="44" spans="1:1" ht="15" customHeight="1" x14ac:dyDescent="0.2">
      <c r="A44" s="45"/>
    </row>
    <row r="45" spans="1:1" ht="15" customHeight="1" x14ac:dyDescent="0.2">
      <c r="A45" s="46" t="s">
        <v>1326</v>
      </c>
    </row>
    <row r="46" spans="1:1" ht="15" customHeight="1" x14ac:dyDescent="0.2">
      <c r="A46" s="45" t="s">
        <v>1327</v>
      </c>
    </row>
    <row r="47" spans="1:1" ht="15" customHeight="1" x14ac:dyDescent="0.2">
      <c r="A47" s="1" t="s">
        <v>1328</v>
      </c>
    </row>
    <row r="48" spans="1:1" ht="15" customHeight="1" x14ac:dyDescent="0.2">
      <c r="A48" s="45" t="s">
        <v>1329</v>
      </c>
    </row>
    <row r="49" spans="1:1" ht="15" customHeight="1" x14ac:dyDescent="0.2">
      <c r="A49" s="45" t="s">
        <v>1330</v>
      </c>
    </row>
    <row r="50" spans="1:1" ht="15" customHeight="1" x14ac:dyDescent="0.2">
      <c r="A50" s="45" t="s">
        <v>1331</v>
      </c>
    </row>
    <row r="51" spans="1:1" ht="15" customHeight="1" x14ac:dyDescent="0.2">
      <c r="A51" s="45" t="s">
        <v>1332</v>
      </c>
    </row>
    <row r="52" spans="1:1" ht="15" customHeight="1" x14ac:dyDescent="0.2">
      <c r="A52" s="45" t="s">
        <v>1333</v>
      </c>
    </row>
    <row r="53" spans="1:1" ht="15" customHeight="1" x14ac:dyDescent="0.2">
      <c r="A53" s="45" t="s">
        <v>1334</v>
      </c>
    </row>
    <row r="54" spans="1:1" ht="15" customHeight="1" x14ac:dyDescent="0.2">
      <c r="A54" s="45" t="s">
        <v>1335</v>
      </c>
    </row>
    <row r="55" spans="1:1" ht="15" customHeight="1" x14ac:dyDescent="0.2">
      <c r="A55" s="45" t="s">
        <v>1336</v>
      </c>
    </row>
    <row r="56" spans="1:1" ht="15" customHeight="1" x14ac:dyDescent="0.2">
      <c r="A56" s="45" t="s">
        <v>1337</v>
      </c>
    </row>
    <row r="57" spans="1:1" ht="15" customHeight="1" x14ac:dyDescent="0.2">
      <c r="A57" s="45" t="s">
        <v>1338</v>
      </c>
    </row>
    <row r="58" spans="1:1" ht="15" customHeight="1" x14ac:dyDescent="0.2">
      <c r="A58" s="45" t="s">
        <v>1339</v>
      </c>
    </row>
    <row r="59" spans="1:1" ht="15" customHeight="1" x14ac:dyDescent="0.2">
      <c r="A59" s="1" t="s">
        <v>1340</v>
      </c>
    </row>
    <row r="60" spans="1:1" ht="21.75" customHeight="1" x14ac:dyDescent="0.2">
      <c r="A60" s="45" t="s">
        <v>1341</v>
      </c>
    </row>
    <row r="61" spans="1:1" ht="15" customHeight="1" x14ac:dyDescent="0.2">
      <c r="A61" s="1" t="s">
        <v>1342</v>
      </c>
    </row>
    <row r="62" spans="1:1" ht="15" customHeight="1" x14ac:dyDescent="0.2">
      <c r="A62" s="45" t="s">
        <v>1343</v>
      </c>
    </row>
    <row r="63" spans="1:1" ht="15" customHeight="1" x14ac:dyDescent="0.2">
      <c r="A63" s="45" t="s">
        <v>1344</v>
      </c>
    </row>
    <row r="64" spans="1:1" ht="15" customHeight="1" x14ac:dyDescent="0.2">
      <c r="A64" s="45" t="s">
        <v>1345</v>
      </c>
    </row>
    <row r="65" spans="1:1" ht="15" customHeight="1" x14ac:dyDescent="0.2">
      <c r="A65" s="45" t="s">
        <v>1346</v>
      </c>
    </row>
    <row r="66" spans="1:1" ht="15" customHeight="1" x14ac:dyDescent="0.2">
      <c r="A66" s="45" t="s">
        <v>1347</v>
      </c>
    </row>
    <row r="67" spans="1:1" ht="15" customHeight="1" x14ac:dyDescent="0.2">
      <c r="A67" s="45" t="s">
        <v>1348</v>
      </c>
    </row>
    <row r="68" spans="1:1" ht="15" customHeight="1" x14ac:dyDescent="0.2">
      <c r="A68" s="45" t="s">
        <v>1349</v>
      </c>
    </row>
    <row r="69" spans="1:1" ht="15" customHeight="1" x14ac:dyDescent="0.2">
      <c r="A69" s="45" t="s">
        <v>1350</v>
      </c>
    </row>
    <row r="70" spans="1:1" ht="15" customHeight="1" x14ac:dyDescent="0.2">
      <c r="A70" s="45" t="s">
        <v>1351</v>
      </c>
    </row>
    <row r="71" spans="1:1" ht="15" customHeight="1" x14ac:dyDescent="0.2">
      <c r="A71" s="45" t="s">
        <v>1352</v>
      </c>
    </row>
    <row r="72" spans="1:1" ht="15" customHeight="1" x14ac:dyDescent="0.2">
      <c r="A72" s="1" t="s">
        <v>1353</v>
      </c>
    </row>
    <row r="73" spans="1:1" ht="15" customHeight="1" x14ac:dyDescent="0.2">
      <c r="A73" s="45" t="s">
        <v>1354</v>
      </c>
    </row>
    <row r="74" spans="1:1" ht="15" customHeight="1" x14ac:dyDescent="0.2">
      <c r="A74" s="45" t="s">
        <v>1355</v>
      </c>
    </row>
    <row r="75" spans="1:1" ht="15" customHeight="1" x14ac:dyDescent="0.2">
      <c r="A75" s="45" t="s">
        <v>1356</v>
      </c>
    </row>
    <row r="76" spans="1:1" ht="15" customHeight="1" x14ac:dyDescent="0.2">
      <c r="A76" s="45" t="s">
        <v>1357</v>
      </c>
    </row>
    <row r="77" spans="1:1" ht="15" customHeight="1" x14ac:dyDescent="0.2">
      <c r="A77" s="45" t="s">
        <v>1358</v>
      </c>
    </row>
    <row r="78" spans="1:1" ht="15" customHeight="1" x14ac:dyDescent="0.2">
      <c r="A78" s="45" t="s">
        <v>1359</v>
      </c>
    </row>
    <row r="79" spans="1:1" ht="15" customHeight="1" x14ac:dyDescent="0.2">
      <c r="A79" s="45" t="s">
        <v>1360</v>
      </c>
    </row>
    <row r="80" spans="1:1" ht="15" customHeight="1" x14ac:dyDescent="0.2">
      <c r="A80" s="45" t="s">
        <v>1361</v>
      </c>
    </row>
    <row r="81" spans="1:1" ht="15" customHeight="1" x14ac:dyDescent="0.2">
      <c r="A81" s="45" t="s">
        <v>1362</v>
      </c>
    </row>
    <row r="82" spans="1:1" ht="15" customHeight="1" x14ac:dyDescent="0.2">
      <c r="A82" s="45" t="s">
        <v>1363</v>
      </c>
    </row>
    <row r="83" spans="1:1" ht="15" customHeight="1" x14ac:dyDescent="0.2">
      <c r="A83" s="45" t="s">
        <v>1364</v>
      </c>
    </row>
    <row r="84" spans="1:1" ht="15" customHeight="1" x14ac:dyDescent="0.2">
      <c r="A84" s="45" t="s">
        <v>1365</v>
      </c>
    </row>
    <row r="85" spans="1:1" ht="15" customHeight="1" x14ac:dyDescent="0.2">
      <c r="A85" s="45" t="s">
        <v>1366</v>
      </c>
    </row>
    <row r="86" spans="1:1" ht="15" customHeight="1" x14ac:dyDescent="0.2">
      <c r="A86" s="45" t="s">
        <v>1367</v>
      </c>
    </row>
    <row r="87" spans="1:1" ht="15" customHeight="1" x14ac:dyDescent="0.2">
      <c r="A87" s="45" t="s">
        <v>1368</v>
      </c>
    </row>
    <row r="88" spans="1:1" ht="15" customHeight="1" x14ac:dyDescent="0.2">
      <c r="A88" s="45" t="s">
        <v>1369</v>
      </c>
    </row>
    <row r="89" spans="1:1" ht="15" customHeight="1" x14ac:dyDescent="0.2">
      <c r="A89" s="45" t="s">
        <v>1370</v>
      </c>
    </row>
    <row r="90" spans="1:1" ht="15" customHeight="1" x14ac:dyDescent="0.2">
      <c r="A90" s="45" t="s">
        <v>1371</v>
      </c>
    </row>
    <row r="91" spans="1:1" ht="15" customHeight="1" x14ac:dyDescent="0.2">
      <c r="A91" s="45" t="s">
        <v>1372</v>
      </c>
    </row>
    <row r="92" spans="1:1" ht="15" customHeight="1" x14ac:dyDescent="0.2">
      <c r="A92" s="45" t="s">
        <v>1373</v>
      </c>
    </row>
    <row r="93" spans="1:1" ht="15" customHeight="1" x14ac:dyDescent="0.2">
      <c r="A93" s="45" t="s">
        <v>1374</v>
      </c>
    </row>
    <row r="94" spans="1:1" ht="15" customHeight="1" x14ac:dyDescent="0.2">
      <c r="A94" s="1" t="s">
        <v>1375</v>
      </c>
    </row>
    <row r="95" spans="1:1" ht="15" customHeight="1" x14ac:dyDescent="0.2">
      <c r="A95" s="45" t="s">
        <v>1376</v>
      </c>
    </row>
    <row r="96" spans="1:1" ht="15" customHeight="1" x14ac:dyDescent="0.2">
      <c r="A96" s="45" t="s">
        <v>1377</v>
      </c>
    </row>
    <row r="97" spans="1:1" ht="15" customHeight="1" x14ac:dyDescent="0.2">
      <c r="A97" s="45" t="s">
        <v>1378</v>
      </c>
    </row>
    <row r="98" spans="1:1" ht="15" customHeight="1" x14ac:dyDescent="0.2">
      <c r="A98" s="45" t="s">
        <v>1379</v>
      </c>
    </row>
    <row r="99" spans="1:1" ht="15" customHeight="1" x14ac:dyDescent="0.2">
      <c r="A99" s="45" t="s">
        <v>1380</v>
      </c>
    </row>
    <row r="100" spans="1:1" ht="15" customHeight="1" x14ac:dyDescent="0.2">
      <c r="A100" s="45" t="s">
        <v>1381</v>
      </c>
    </row>
    <row r="101" spans="1:1" ht="15" customHeight="1" x14ac:dyDescent="0.2">
      <c r="A101" s="45" t="s">
        <v>1382</v>
      </c>
    </row>
    <row r="102" spans="1:1" ht="15" customHeight="1" x14ac:dyDescent="0.2">
      <c r="A102" s="45" t="s">
        <v>1383</v>
      </c>
    </row>
    <row r="103" spans="1:1" ht="15" customHeight="1" x14ac:dyDescent="0.2">
      <c r="A103" s="45" t="s">
        <v>1384</v>
      </c>
    </row>
    <row r="104" spans="1:1" ht="15" customHeight="1" x14ac:dyDescent="0.2">
      <c r="A104" s="45" t="s">
        <v>1385</v>
      </c>
    </row>
    <row r="105" spans="1:1" ht="15" customHeight="1" x14ac:dyDescent="0.2">
      <c r="A105" s="45" t="s">
        <v>1386</v>
      </c>
    </row>
    <row r="106" spans="1:1" ht="15" customHeight="1" x14ac:dyDescent="0.2">
      <c r="A106" s="45" t="s">
        <v>1387</v>
      </c>
    </row>
    <row r="107" spans="1:1" ht="15" customHeight="1" x14ac:dyDescent="0.2">
      <c r="A107" s="45" t="s">
        <v>1388</v>
      </c>
    </row>
    <row r="108" spans="1:1" ht="15" customHeight="1" x14ac:dyDescent="0.2">
      <c r="A108" s="45" t="s">
        <v>1389</v>
      </c>
    </row>
    <row r="109" spans="1:1" ht="15" customHeight="1" x14ac:dyDescent="0.2">
      <c r="A109" s="45" t="s">
        <v>1390</v>
      </c>
    </row>
    <row r="110" spans="1:1" ht="15" customHeight="1" x14ac:dyDescent="0.2">
      <c r="A110" s="45" t="s">
        <v>1391</v>
      </c>
    </row>
    <row r="111" spans="1:1" ht="15" customHeight="1" x14ac:dyDescent="0.2">
      <c r="A111" s="45" t="s">
        <v>1392</v>
      </c>
    </row>
    <row r="112" spans="1:1" ht="15" customHeight="1" x14ac:dyDescent="0.2">
      <c r="A112" s="45" t="s">
        <v>1393</v>
      </c>
    </row>
    <row r="113" spans="1:1" ht="15" customHeight="1" x14ac:dyDescent="0.2">
      <c r="A113" s="45" t="s">
        <v>1394</v>
      </c>
    </row>
    <row r="114" spans="1:1" ht="15" customHeight="1" x14ac:dyDescent="0.2">
      <c r="A114" s="45" t="s">
        <v>1395</v>
      </c>
    </row>
    <row r="115" spans="1:1" ht="15" customHeight="1" x14ac:dyDescent="0.2">
      <c r="A115" s="45" t="s">
        <v>1396</v>
      </c>
    </row>
    <row r="116" spans="1:1" ht="15" customHeight="1" x14ac:dyDescent="0.2">
      <c r="A116" s="45" t="s">
        <v>1397</v>
      </c>
    </row>
    <row r="117" spans="1:1" ht="15" customHeight="1" x14ac:dyDescent="0.2">
      <c r="A117" s="45" t="s">
        <v>1398</v>
      </c>
    </row>
    <row r="118" spans="1:1" ht="15" customHeight="1" x14ac:dyDescent="0.2">
      <c r="A118" s="45" t="s">
        <v>1399</v>
      </c>
    </row>
    <row r="119" spans="1:1" ht="15" customHeight="1" x14ac:dyDescent="0.2">
      <c r="A119" s="45" t="s">
        <v>1400</v>
      </c>
    </row>
    <row r="120" spans="1:1" ht="15" customHeight="1" x14ac:dyDescent="0.2">
      <c r="A120" s="45" t="s">
        <v>1401</v>
      </c>
    </row>
    <row r="121" spans="1:1" ht="15" customHeight="1" x14ac:dyDescent="0.2">
      <c r="A121" s="1" t="s">
        <v>1402</v>
      </c>
    </row>
    <row r="122" spans="1:1" ht="15" customHeight="1" x14ac:dyDescent="0.2">
      <c r="A122" s="47" t="s">
        <v>1403</v>
      </c>
    </row>
    <row r="123" spans="1:1" ht="15" customHeight="1" x14ac:dyDescent="0.2">
      <c r="A123" s="45" t="s">
        <v>1404</v>
      </c>
    </row>
    <row r="124" spans="1:1" ht="15" customHeight="1" x14ac:dyDescent="0.2">
      <c r="A124" s="45" t="s">
        <v>1405</v>
      </c>
    </row>
    <row r="125" spans="1:1" ht="15" customHeight="1" x14ac:dyDescent="0.2">
      <c r="A125" s="45" t="s">
        <v>1406</v>
      </c>
    </row>
    <row r="126" spans="1:1" ht="15" customHeight="1" x14ac:dyDescent="0.2">
      <c r="A126" s="45" t="s">
        <v>1407</v>
      </c>
    </row>
    <row r="127" spans="1:1" ht="15" customHeight="1" x14ac:dyDescent="0.2">
      <c r="A127" s="47" t="s">
        <v>1408</v>
      </c>
    </row>
    <row r="128" spans="1:1" ht="15" customHeight="1" x14ac:dyDescent="0.2">
      <c r="A128" s="45" t="s">
        <v>1409</v>
      </c>
    </row>
    <row r="129" spans="1:1" ht="15" customHeight="1" x14ac:dyDescent="0.2">
      <c r="A129" s="45" t="s">
        <v>1410</v>
      </c>
    </row>
    <row r="130" spans="1:1" ht="15" customHeight="1" x14ac:dyDescent="0.2">
      <c r="A130" s="45" t="s">
        <v>1411</v>
      </c>
    </row>
    <row r="131" spans="1:1" ht="15" customHeight="1" x14ac:dyDescent="0.2">
      <c r="A131" s="45" t="s">
        <v>1412</v>
      </c>
    </row>
    <row r="132" spans="1:1" ht="15" customHeight="1" x14ac:dyDescent="0.2">
      <c r="A132" s="45" t="s">
        <v>1413</v>
      </c>
    </row>
    <row r="133" spans="1:1" ht="15" customHeight="1" x14ac:dyDescent="0.2">
      <c r="A133" s="45" t="s">
        <v>1414</v>
      </c>
    </row>
    <row r="134" spans="1:1" ht="15" customHeight="1" x14ac:dyDescent="0.2">
      <c r="A134" s="45" t="s">
        <v>1415</v>
      </c>
    </row>
    <row r="135" spans="1:1" ht="15" customHeight="1" x14ac:dyDescent="0.2">
      <c r="A135" s="45" t="s">
        <v>1416</v>
      </c>
    </row>
    <row r="136" spans="1:1" ht="15" customHeight="1" x14ac:dyDescent="0.2">
      <c r="A136" s="45" t="s">
        <v>1417</v>
      </c>
    </row>
    <row r="137" spans="1:1" ht="15" customHeight="1" x14ac:dyDescent="0.2">
      <c r="A137" s="45" t="s">
        <v>1418</v>
      </c>
    </row>
    <row r="138" spans="1:1" ht="15" customHeight="1" x14ac:dyDescent="0.2">
      <c r="A138" s="45" t="s">
        <v>1419</v>
      </c>
    </row>
    <row r="139" spans="1:1" ht="15" customHeight="1" x14ac:dyDescent="0.2">
      <c r="A139" s="47" t="s">
        <v>1420</v>
      </c>
    </row>
    <row r="140" spans="1:1" ht="15" customHeight="1" x14ac:dyDescent="0.2">
      <c r="A140" s="45" t="s">
        <v>1421</v>
      </c>
    </row>
    <row r="141" spans="1:1" ht="15" customHeight="1" x14ac:dyDescent="0.2">
      <c r="A141" s="45" t="s">
        <v>1422</v>
      </c>
    </row>
    <row r="142" spans="1:1" ht="15" customHeight="1" x14ac:dyDescent="0.2">
      <c r="A142" s="45" t="s">
        <v>1423</v>
      </c>
    </row>
    <row r="143" spans="1:1" ht="15" customHeight="1" x14ac:dyDescent="0.2">
      <c r="A143" s="45" t="s">
        <v>1424</v>
      </c>
    </row>
    <row r="144" spans="1:1" ht="15" customHeight="1" x14ac:dyDescent="0.2">
      <c r="A144" s="45" t="s">
        <v>1425</v>
      </c>
    </row>
    <row r="145" spans="1:1" ht="15" customHeight="1" x14ac:dyDescent="0.2">
      <c r="A145" s="45" t="s">
        <v>1426</v>
      </c>
    </row>
    <row r="146" spans="1:1" ht="15" customHeight="1" x14ac:dyDescent="0.2">
      <c r="A146" s="45" t="s">
        <v>1427</v>
      </c>
    </row>
    <row r="147" spans="1:1" ht="15" customHeight="1" x14ac:dyDescent="0.2">
      <c r="A147" s="45" t="s">
        <v>1428</v>
      </c>
    </row>
    <row r="148" spans="1:1" ht="15" customHeight="1" x14ac:dyDescent="0.2">
      <c r="A148" s="45" t="s">
        <v>1429</v>
      </c>
    </row>
    <row r="149" spans="1:1" ht="15" customHeight="1" x14ac:dyDescent="0.2">
      <c r="A149" s="47" t="s">
        <v>1430</v>
      </c>
    </row>
    <row r="150" spans="1:1" ht="15" customHeight="1" x14ac:dyDescent="0.2">
      <c r="A150" s="45" t="s">
        <v>1431</v>
      </c>
    </row>
    <row r="151" spans="1:1" ht="15" customHeight="1" x14ac:dyDescent="0.2">
      <c r="A151" s="45" t="s">
        <v>1432</v>
      </c>
    </row>
    <row r="152" spans="1:1" ht="15" customHeight="1" x14ac:dyDescent="0.2">
      <c r="A152" s="45" t="s">
        <v>1433</v>
      </c>
    </row>
    <row r="153" spans="1:1" ht="15" customHeight="1" x14ac:dyDescent="0.2">
      <c r="A153" s="45" t="s">
        <v>1434</v>
      </c>
    </row>
    <row r="154" spans="1:1" ht="15" customHeight="1" x14ac:dyDescent="0.2">
      <c r="A154" s="47" t="s">
        <v>1435</v>
      </c>
    </row>
    <row r="155" spans="1:1" ht="15" customHeight="1" x14ac:dyDescent="0.2">
      <c r="A155" s="45" t="s">
        <v>1436</v>
      </c>
    </row>
    <row r="156" spans="1:1" ht="15" customHeight="1" x14ac:dyDescent="0.2">
      <c r="A156" s="45" t="s">
        <v>1437</v>
      </c>
    </row>
    <row r="157" spans="1:1" ht="15" customHeight="1" x14ac:dyDescent="0.2">
      <c r="A157" s="45" t="s">
        <v>1438</v>
      </c>
    </row>
    <row r="158" spans="1:1" ht="15" customHeight="1" x14ac:dyDescent="0.2">
      <c r="A158" s="45" t="s">
        <v>1439</v>
      </c>
    </row>
    <row r="159" spans="1:1" ht="15" customHeight="1" x14ac:dyDescent="0.2">
      <c r="A159" s="45" t="s">
        <v>1440</v>
      </c>
    </row>
    <row r="160" spans="1:1" ht="15" customHeight="1" x14ac:dyDescent="0.2">
      <c r="A160" s="45" t="s">
        <v>1441</v>
      </c>
    </row>
    <row r="161" spans="1:1" ht="15" customHeight="1" x14ac:dyDescent="0.2">
      <c r="A161" s="45" t="s">
        <v>1442</v>
      </c>
    </row>
    <row r="162" spans="1:1" ht="15" customHeight="1" x14ac:dyDescent="0.2">
      <c r="A162" s="45" t="s">
        <v>1443</v>
      </c>
    </row>
    <row r="163" spans="1:1" ht="15" customHeight="1" x14ac:dyDescent="0.2">
      <c r="A163" s="47" t="s">
        <v>1444</v>
      </c>
    </row>
    <row r="164" spans="1:1" ht="15" customHeight="1" x14ac:dyDescent="0.2">
      <c r="A164" s="45" t="s">
        <v>1445</v>
      </c>
    </row>
    <row r="165" spans="1:1" ht="15" customHeight="1" x14ac:dyDescent="0.2">
      <c r="A165" s="45" t="s">
        <v>1446</v>
      </c>
    </row>
    <row r="166" spans="1:1" ht="15" customHeight="1" x14ac:dyDescent="0.2">
      <c r="A166" s="45" t="s">
        <v>1447</v>
      </c>
    </row>
    <row r="167" spans="1:1" ht="15" customHeight="1" x14ac:dyDescent="0.2">
      <c r="A167" s="45" t="s">
        <v>1448</v>
      </c>
    </row>
    <row r="168" spans="1:1" ht="15" customHeight="1" x14ac:dyDescent="0.2">
      <c r="A168" s="45" t="s">
        <v>1449</v>
      </c>
    </row>
    <row r="169" spans="1:1" ht="15" customHeight="1" x14ac:dyDescent="0.2">
      <c r="A169" s="45" t="s">
        <v>1450</v>
      </c>
    </row>
    <row r="170" spans="1:1" ht="15" customHeight="1" x14ac:dyDescent="0.2">
      <c r="A170" s="45" t="s">
        <v>1451</v>
      </c>
    </row>
    <row r="171" spans="1:1" ht="15" customHeight="1" x14ac:dyDescent="0.2">
      <c r="A171" s="45" t="s">
        <v>1452</v>
      </c>
    </row>
    <row r="172" spans="1:1" ht="15" customHeight="1" x14ac:dyDescent="0.2">
      <c r="A172" s="45" t="s">
        <v>1453</v>
      </c>
    </row>
    <row r="173" spans="1:1" ht="15" customHeight="1" x14ac:dyDescent="0.2">
      <c r="A173" s="45" t="s">
        <v>1454</v>
      </c>
    </row>
    <row r="174" spans="1:1" ht="15" customHeight="1" x14ac:dyDescent="0.2">
      <c r="A174" s="45" t="s">
        <v>1455</v>
      </c>
    </row>
    <row r="175" spans="1:1" ht="15" customHeight="1" x14ac:dyDescent="0.2">
      <c r="A175" s="45" t="s">
        <v>1456</v>
      </c>
    </row>
    <row r="176" spans="1:1" ht="15" customHeight="1" x14ac:dyDescent="0.2">
      <c r="A176" s="45" t="s">
        <v>1457</v>
      </c>
    </row>
    <row r="177" spans="1:1" ht="15" customHeight="1" x14ac:dyDescent="0.2">
      <c r="A177" s="45" t="s">
        <v>1458</v>
      </c>
    </row>
    <row r="178" spans="1:1" ht="15" customHeight="1" x14ac:dyDescent="0.2">
      <c r="A178" s="45" t="s">
        <v>1459</v>
      </c>
    </row>
    <row r="179" spans="1:1" ht="15" customHeight="1" x14ac:dyDescent="0.2">
      <c r="A179" s="45" t="s">
        <v>1460</v>
      </c>
    </row>
    <row r="180" spans="1:1" ht="15" customHeight="1" x14ac:dyDescent="0.2">
      <c r="A180" s="45" t="s">
        <v>1461</v>
      </c>
    </row>
    <row r="181" spans="1:1" ht="15" customHeight="1" x14ac:dyDescent="0.2">
      <c r="A181" s="47" t="s">
        <v>1462</v>
      </c>
    </row>
    <row r="182" spans="1:1" ht="15" customHeight="1" x14ac:dyDescent="0.2">
      <c r="A182" s="45" t="s">
        <v>1463</v>
      </c>
    </row>
    <row r="183" spans="1:1" ht="15" customHeight="1" x14ac:dyDescent="0.2">
      <c r="A183" s="45" t="s">
        <v>1464</v>
      </c>
    </row>
    <row r="184" spans="1:1" ht="15" customHeight="1" x14ac:dyDescent="0.2">
      <c r="A184" s="45" t="s">
        <v>1465</v>
      </c>
    </row>
    <row r="185" spans="1:1" ht="15" customHeight="1" x14ac:dyDescent="0.2">
      <c r="A185" s="45" t="s">
        <v>1466</v>
      </c>
    </row>
    <row r="186" spans="1:1" ht="15" customHeight="1" x14ac:dyDescent="0.2">
      <c r="A186" s="45" t="s">
        <v>1467</v>
      </c>
    </row>
    <row r="187" spans="1:1" ht="15" customHeight="1" x14ac:dyDescent="0.2">
      <c r="A187" s="45" t="s">
        <v>1468</v>
      </c>
    </row>
    <row r="188" spans="1:1" ht="15" customHeight="1" x14ac:dyDescent="0.2">
      <c r="A188" s="45" t="s">
        <v>1469</v>
      </c>
    </row>
    <row r="189" spans="1:1" ht="15" customHeight="1" x14ac:dyDescent="0.2">
      <c r="A189" s="45" t="s">
        <v>1470</v>
      </c>
    </row>
    <row r="190" spans="1:1" ht="15" customHeight="1" x14ac:dyDescent="0.2">
      <c r="A190" s="45" t="s">
        <v>1471</v>
      </c>
    </row>
    <row r="191" spans="1:1" ht="15" customHeight="1" x14ac:dyDescent="0.2">
      <c r="A191" s="47" t="s">
        <v>1472</v>
      </c>
    </row>
    <row r="192" spans="1:1" ht="15" customHeight="1" x14ac:dyDescent="0.2">
      <c r="A192" s="45" t="s">
        <v>1473</v>
      </c>
    </row>
    <row r="193" spans="1:1" ht="15" customHeight="1" x14ac:dyDescent="0.2">
      <c r="A193" s="45" t="s">
        <v>1474</v>
      </c>
    </row>
    <row r="194" spans="1:1" ht="15" customHeight="1" x14ac:dyDescent="0.2">
      <c r="A194" s="45" t="s">
        <v>1475</v>
      </c>
    </row>
    <row r="195" spans="1:1" ht="15" customHeight="1" x14ac:dyDescent="0.2">
      <c r="A195" s="45" t="s">
        <v>1476</v>
      </c>
    </row>
    <row r="196" spans="1:1" ht="15" customHeight="1" x14ac:dyDescent="0.2">
      <c r="A196" s="45" t="s">
        <v>1477</v>
      </c>
    </row>
    <row r="197" spans="1:1" ht="15" customHeight="1" x14ac:dyDescent="0.2">
      <c r="A197" s="45" t="s">
        <v>1478</v>
      </c>
    </row>
    <row r="198" spans="1:1" ht="15" customHeight="1" x14ac:dyDescent="0.2">
      <c r="A198" s="45" t="s">
        <v>1479</v>
      </c>
    </row>
    <row r="199" spans="1:1" ht="15" customHeight="1" x14ac:dyDescent="0.2">
      <c r="A199" s="45" t="s">
        <v>1480</v>
      </c>
    </row>
    <row r="200" spans="1:1" ht="15" customHeight="1" x14ac:dyDescent="0.2">
      <c r="A200" s="45" t="s">
        <v>1481</v>
      </c>
    </row>
    <row r="201" spans="1:1" ht="15" customHeight="1" x14ac:dyDescent="0.2">
      <c r="A201" s="45" t="s">
        <v>1482</v>
      </c>
    </row>
    <row r="202" spans="1:1" ht="15" customHeight="1" x14ac:dyDescent="0.2">
      <c r="A202" s="45" t="s">
        <v>1483</v>
      </c>
    </row>
    <row r="203" spans="1:1" ht="15" customHeight="1" x14ac:dyDescent="0.2">
      <c r="A203" s="47" t="s">
        <v>1484</v>
      </c>
    </row>
    <row r="204" spans="1:1" ht="15" customHeight="1" x14ac:dyDescent="0.2">
      <c r="A204" s="45"/>
    </row>
    <row r="205" spans="1:1" ht="15" customHeight="1" x14ac:dyDescent="0.2">
      <c r="A205" s="46" t="s">
        <v>1485</v>
      </c>
    </row>
    <row r="206" spans="1:1" ht="21.75" customHeight="1" x14ac:dyDescent="0.2">
      <c r="A206" s="45" t="s">
        <v>1486</v>
      </c>
    </row>
    <row r="207" spans="1:1" ht="15" customHeight="1" x14ac:dyDescent="0.2">
      <c r="A207" s="45"/>
    </row>
    <row r="208" spans="1:1" ht="15" customHeight="1" x14ac:dyDescent="0.2">
      <c r="A208" s="46" t="s">
        <v>1487</v>
      </c>
    </row>
    <row r="209" spans="1:1" ht="15" customHeight="1" x14ac:dyDescent="0.2">
      <c r="A209" s="1" t="s">
        <v>1488</v>
      </c>
    </row>
    <row r="210" spans="1:1" ht="15" customHeight="1" x14ac:dyDescent="0.2">
      <c r="A210" s="45" t="s">
        <v>1489</v>
      </c>
    </row>
    <row r="211" spans="1:1" ht="15" customHeight="1" x14ac:dyDescent="0.2">
      <c r="A211" s="45" t="s">
        <v>1490</v>
      </c>
    </row>
    <row r="212" spans="1:1" ht="21.75" customHeight="1" x14ac:dyDescent="0.2">
      <c r="A212" s="45" t="s">
        <v>1491</v>
      </c>
    </row>
    <row r="213" spans="1:1" ht="15" customHeight="1" x14ac:dyDescent="0.2">
      <c r="A213" s="45" t="s">
        <v>1346</v>
      </c>
    </row>
    <row r="214" spans="1:1" ht="15" customHeight="1" x14ac:dyDescent="0.2">
      <c r="A214" s="45" t="s">
        <v>1492</v>
      </c>
    </row>
    <row r="215" spans="1:1" ht="15" customHeight="1" x14ac:dyDescent="0.2">
      <c r="A215" s="45" t="s">
        <v>1493</v>
      </c>
    </row>
    <row r="216" spans="1:1" ht="15" customHeight="1" x14ac:dyDescent="0.2">
      <c r="A216" s="45"/>
    </row>
    <row r="217" spans="1:1" ht="15" customHeight="1" x14ac:dyDescent="0.2">
      <c r="A217" s="46" t="s">
        <v>1494</v>
      </c>
    </row>
    <row r="218" spans="1:1" ht="21.75" customHeight="1" x14ac:dyDescent="0.2">
      <c r="A218" s="48" t="s">
        <v>1495</v>
      </c>
    </row>
    <row r="219" spans="1:1" ht="21.75" customHeight="1" x14ac:dyDescent="0.2">
      <c r="A219" s="45" t="s">
        <v>1496</v>
      </c>
    </row>
    <row r="220" spans="1:1" ht="15" customHeight="1" x14ac:dyDescent="0.2">
      <c r="A220" s="1" t="s">
        <v>1497</v>
      </c>
    </row>
    <row r="221" spans="1:1" ht="15" customHeight="1" x14ac:dyDescent="0.2">
      <c r="A221" s="45" t="s">
        <v>1498</v>
      </c>
    </row>
    <row r="222" spans="1:1" ht="15" customHeight="1" x14ac:dyDescent="0.2">
      <c r="A222" s="45" t="s">
        <v>1499</v>
      </c>
    </row>
    <row r="223" spans="1:1" ht="15" customHeight="1" x14ac:dyDescent="0.2">
      <c r="A223" s="45" t="s">
        <v>1500</v>
      </c>
    </row>
    <row r="224" spans="1:1" ht="15" customHeight="1" x14ac:dyDescent="0.2">
      <c r="A224" s="45" t="s">
        <v>1501</v>
      </c>
    </row>
    <row r="225" spans="1:1" ht="15" customHeight="1" x14ac:dyDescent="0.2">
      <c r="A225" s="45" t="s">
        <v>1502</v>
      </c>
    </row>
    <row r="226" spans="1:1" ht="15" customHeight="1" x14ac:dyDescent="0.2">
      <c r="A226" s="45" t="s">
        <v>1503</v>
      </c>
    </row>
    <row r="227" spans="1:1" ht="15" customHeight="1" x14ac:dyDescent="0.2">
      <c r="A227" s="45" t="s">
        <v>1504</v>
      </c>
    </row>
    <row r="228" spans="1:1" ht="15" customHeight="1" x14ac:dyDescent="0.2">
      <c r="A228" s="45" t="s">
        <v>1505</v>
      </c>
    </row>
    <row r="229" spans="1:1" ht="15" customHeight="1" x14ac:dyDescent="0.2">
      <c r="A229" s="45" t="s">
        <v>1506</v>
      </c>
    </row>
    <row r="230" spans="1:1" ht="15" customHeight="1" x14ac:dyDescent="0.2">
      <c r="A230" s="45" t="s">
        <v>1507</v>
      </c>
    </row>
    <row r="231" spans="1:1" ht="15" customHeight="1" x14ac:dyDescent="0.2">
      <c r="A231" s="45" t="s">
        <v>1508</v>
      </c>
    </row>
    <row r="232" spans="1:1" ht="15" customHeight="1" x14ac:dyDescent="0.2">
      <c r="A232" s="1" t="s">
        <v>1509</v>
      </c>
    </row>
    <row r="233" spans="1:1" ht="15" customHeight="1" x14ac:dyDescent="0.2">
      <c r="A233" s="45" t="s">
        <v>1510</v>
      </c>
    </row>
    <row r="234" spans="1:1" ht="21.75" customHeight="1" x14ac:dyDescent="0.2">
      <c r="A234" s="45" t="s">
        <v>1511</v>
      </c>
    </row>
    <row r="235" spans="1:1" ht="21.75" customHeight="1" x14ac:dyDescent="0.2">
      <c r="A235" s="45" t="s">
        <v>1512</v>
      </c>
    </row>
    <row r="236" spans="1:1" ht="15" customHeight="1" x14ac:dyDescent="0.2">
      <c r="A236" s="45" t="s">
        <v>1513</v>
      </c>
    </row>
    <row r="237" spans="1:1" ht="15" customHeight="1" x14ac:dyDescent="0.2">
      <c r="A237" s="1" t="s">
        <v>1514</v>
      </c>
    </row>
    <row r="238" spans="1:1" ht="15" customHeight="1" x14ac:dyDescent="0.2">
      <c r="A238" s="45" t="s">
        <v>1515</v>
      </c>
    </row>
    <row r="239" spans="1:1" ht="15" customHeight="1" x14ac:dyDescent="0.2">
      <c r="A239" s="45" t="s">
        <v>1516</v>
      </c>
    </row>
    <row r="240" spans="1:1" ht="21.75" customHeight="1" x14ac:dyDescent="0.2">
      <c r="A240" s="45" t="s">
        <v>1517</v>
      </c>
    </row>
    <row r="241" spans="1:1" ht="15" customHeight="1" x14ac:dyDescent="0.2">
      <c r="A241" s="45" t="s">
        <v>1518</v>
      </c>
    </row>
    <row r="242" spans="1:1" ht="15" customHeight="1" x14ac:dyDescent="0.2">
      <c r="A242" s="45" t="s">
        <v>1519</v>
      </c>
    </row>
    <row r="243" spans="1:1" ht="15" customHeight="1" x14ac:dyDescent="0.2">
      <c r="A243" s="1" t="s">
        <v>1520</v>
      </c>
    </row>
    <row r="244" spans="1:1" ht="15" customHeight="1" x14ac:dyDescent="0.2">
      <c r="A244" s="45" t="s">
        <v>1521</v>
      </c>
    </row>
    <row r="245" spans="1:1" ht="15" customHeight="1" x14ac:dyDescent="0.2">
      <c r="A245" s="45" t="s">
        <v>1522</v>
      </c>
    </row>
    <row r="246" spans="1:1" ht="15" customHeight="1" x14ac:dyDescent="0.2">
      <c r="A246" s="45" t="s">
        <v>1523</v>
      </c>
    </row>
    <row r="247" spans="1:1" ht="15" customHeight="1" x14ac:dyDescent="0.2">
      <c r="A247" s="45" t="s">
        <v>1524</v>
      </c>
    </row>
    <row r="248" spans="1:1" ht="15" customHeight="1" x14ac:dyDescent="0.2">
      <c r="A248" s="45" t="s">
        <v>1525</v>
      </c>
    </row>
    <row r="249" spans="1:1" ht="15" customHeight="1" x14ac:dyDescent="0.2">
      <c r="A249" s="45" t="s">
        <v>1526</v>
      </c>
    </row>
    <row r="250" spans="1:1" ht="15" customHeight="1" x14ac:dyDescent="0.2">
      <c r="A250" s="45" t="s">
        <v>1527</v>
      </c>
    </row>
    <row r="251" spans="1:1" ht="23.25" customHeight="1" x14ac:dyDescent="0.2">
      <c r="A251" s="1" t="s">
        <v>1528</v>
      </c>
    </row>
    <row r="252" spans="1:1" ht="15" customHeight="1" x14ac:dyDescent="0.2">
      <c r="A252" s="45"/>
    </row>
    <row r="253" spans="1:1" ht="15" customHeight="1" x14ac:dyDescent="0.2">
      <c r="A253" s="46" t="s">
        <v>1529</v>
      </c>
    </row>
    <row r="254" spans="1:1" ht="21.75" customHeight="1" x14ac:dyDescent="0.2">
      <c r="A254" s="48" t="s">
        <v>1530</v>
      </c>
    </row>
    <row r="255" spans="1:1" ht="15" customHeight="1" x14ac:dyDescent="0.2">
      <c r="A255" s="1" t="s">
        <v>1531</v>
      </c>
    </row>
    <row r="256" spans="1:1" ht="15" customHeight="1" x14ac:dyDescent="0.2">
      <c r="A256" s="45" t="s">
        <v>1532</v>
      </c>
    </row>
    <row r="257" spans="1:1" ht="15" customHeight="1" x14ac:dyDescent="0.2">
      <c r="A257" s="45" t="s">
        <v>1533</v>
      </c>
    </row>
    <row r="258" spans="1:1" ht="15" customHeight="1" x14ac:dyDescent="0.2">
      <c r="A258" s="45" t="s">
        <v>1534</v>
      </c>
    </row>
    <row r="259" spans="1:1" ht="15" customHeight="1" x14ac:dyDescent="0.2">
      <c r="A259" s="45" t="s">
        <v>1535</v>
      </c>
    </row>
    <row r="260" spans="1:1" ht="15" customHeight="1" x14ac:dyDescent="0.2">
      <c r="A260" s="45" t="s">
        <v>1536</v>
      </c>
    </row>
    <row r="261" spans="1:1" ht="15" customHeight="1" x14ac:dyDescent="0.2">
      <c r="A261" s="45" t="s">
        <v>1537</v>
      </c>
    </row>
    <row r="262" spans="1:1" ht="15" customHeight="1" x14ac:dyDescent="0.2">
      <c r="A262" s="45" t="s">
        <v>1538</v>
      </c>
    </row>
    <row r="263" spans="1:1" ht="15" customHeight="1" x14ac:dyDescent="0.2">
      <c r="A263" s="45" t="s">
        <v>1539</v>
      </c>
    </row>
    <row r="264" spans="1:1" ht="15" customHeight="1" x14ac:dyDescent="0.2">
      <c r="A264" s="45" t="s">
        <v>1540</v>
      </c>
    </row>
    <row r="265" spans="1:1" ht="15" customHeight="1" x14ac:dyDescent="0.2">
      <c r="A265" s="45"/>
    </row>
    <row r="266" spans="1:1" ht="15" customHeight="1" x14ac:dyDescent="0.2">
      <c r="A266" s="46" t="s">
        <v>1541</v>
      </c>
    </row>
    <row r="267" spans="1:1" ht="21.75" customHeight="1" x14ac:dyDescent="0.2">
      <c r="A267" s="45" t="s">
        <v>1542</v>
      </c>
    </row>
    <row r="268" spans="1:1" ht="15" customHeight="1" x14ac:dyDescent="0.2">
      <c r="A268" s="45"/>
    </row>
    <row r="269" spans="1:1" ht="15" customHeight="1" x14ac:dyDescent="0.2">
      <c r="A269" s="46" t="s">
        <v>1543</v>
      </c>
    </row>
    <row r="270" spans="1:1" ht="15" customHeight="1" x14ac:dyDescent="0.2">
      <c r="A270" s="48" t="s">
        <v>1544</v>
      </c>
    </row>
    <row r="271" spans="1:1" ht="15" customHeight="1" x14ac:dyDescent="0.2">
      <c r="A271" s="45" t="s">
        <v>1545</v>
      </c>
    </row>
    <row r="272" spans="1:1" ht="21.75" customHeight="1" x14ac:dyDescent="0.2">
      <c r="A272" s="45" t="s">
        <v>1546</v>
      </c>
    </row>
    <row r="273" spans="1:1" ht="15" customHeight="1" x14ac:dyDescent="0.2">
      <c r="A273" s="45" t="s">
        <v>1547</v>
      </c>
    </row>
    <row r="274" spans="1:1" ht="15" customHeight="1" x14ac:dyDescent="0.2">
      <c r="A274" s="45"/>
    </row>
    <row r="275" spans="1:1" ht="15" customHeight="1" x14ac:dyDescent="0.2">
      <c r="A275" s="46" t="s">
        <v>1548</v>
      </c>
    </row>
    <row r="276" spans="1:1" ht="21.75" customHeight="1" x14ac:dyDescent="0.2">
      <c r="A276" s="48" t="s">
        <v>1549</v>
      </c>
    </row>
    <row r="277" spans="1:1" ht="15" customHeight="1" x14ac:dyDescent="0.2">
      <c r="A277" s="1" t="s">
        <v>1550</v>
      </c>
    </row>
    <row r="278" spans="1:1" ht="15" customHeight="1" x14ac:dyDescent="0.2">
      <c r="A278" s="45" t="s">
        <v>1551</v>
      </c>
    </row>
    <row r="279" spans="1:1" ht="21.75" customHeight="1" x14ac:dyDescent="0.2">
      <c r="A279" s="45" t="s">
        <v>1552</v>
      </c>
    </row>
    <row r="280" spans="1:1" ht="15" customHeight="1" x14ac:dyDescent="0.2">
      <c r="A280" s="45" t="s">
        <v>1553</v>
      </c>
    </row>
    <row r="281" spans="1:1" ht="21.75" customHeight="1" x14ac:dyDescent="0.2">
      <c r="A281" s="45" t="s">
        <v>1554</v>
      </c>
    </row>
    <row r="282" spans="1:1" ht="21.75" customHeight="1" x14ac:dyDescent="0.2">
      <c r="A282" s="45" t="s">
        <v>1555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4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5" x14ac:dyDescent="0.2"/>
  <cols>
    <col min="1" max="1" width="20" customWidth="1"/>
    <col min="2" max="2" width="34" customWidth="1"/>
    <col min="3" max="3" width="9" customWidth="1"/>
    <col min="4" max="4" width="10" customWidth="1"/>
    <col min="5" max="5" width="11" customWidth="1"/>
    <col min="6" max="6" width="10" customWidth="1"/>
    <col min="7" max="7" width="9" customWidth="1"/>
    <col min="8" max="8" width="15" customWidth="1"/>
    <col min="9" max="9" width="40" customWidth="1"/>
  </cols>
  <sheetData>
    <row r="1" spans="1:9" ht="18" x14ac:dyDescent="0.2">
      <c r="A1" s="7" t="s">
        <v>1556</v>
      </c>
    </row>
    <row r="2" spans="1:9" ht="45.75" customHeight="1" x14ac:dyDescent="0.2">
      <c r="A2" s="58" t="s">
        <v>1557</v>
      </c>
      <c r="B2" s="58"/>
      <c r="C2" s="58"/>
      <c r="D2" s="58"/>
      <c r="E2" s="58"/>
      <c r="F2" s="58"/>
      <c r="G2" s="58"/>
      <c r="H2" s="58"/>
      <c r="I2" s="58"/>
    </row>
    <row r="3" spans="1:9" ht="45.75" customHeight="1" x14ac:dyDescent="0.2">
      <c r="A3" s="65" t="s">
        <v>1558</v>
      </c>
      <c r="B3" s="65"/>
      <c r="C3" s="65"/>
      <c r="D3" s="65"/>
      <c r="E3" s="65"/>
      <c r="F3" s="65"/>
      <c r="G3" s="65"/>
      <c r="H3" s="65"/>
      <c r="I3" s="65"/>
    </row>
    <row r="5" spans="1:9" ht="42" customHeight="1" x14ac:dyDescent="0.2">
      <c r="A5" s="8" t="s">
        <v>159</v>
      </c>
      <c r="B5" s="8" t="s">
        <v>1559</v>
      </c>
      <c r="C5" s="8" t="s">
        <v>1560</v>
      </c>
      <c r="D5" s="8" t="s">
        <v>1561</v>
      </c>
      <c r="E5" s="8" t="s">
        <v>1562</v>
      </c>
      <c r="F5" s="8" t="s">
        <v>326</v>
      </c>
      <c r="G5" s="8" t="s">
        <v>1224</v>
      </c>
      <c r="H5" s="8" t="s">
        <v>1563</v>
      </c>
      <c r="I5" s="8" t="s">
        <v>1564</v>
      </c>
    </row>
    <row r="6" spans="1:9" ht="39.75" customHeight="1" x14ac:dyDescent="0.2">
      <c r="A6" s="49" t="s">
        <v>1275</v>
      </c>
      <c r="B6" s="9" t="s">
        <v>1565</v>
      </c>
      <c r="C6" s="24">
        <v>93133</v>
      </c>
      <c r="D6" s="24">
        <v>91729</v>
      </c>
      <c r="E6" s="50">
        <f t="shared" ref="E6:E19" si="0">D6/C6</f>
        <v>0.98492478498491409</v>
      </c>
      <c r="F6" s="28">
        <v>7</v>
      </c>
      <c r="G6" s="28">
        <v>19</v>
      </c>
      <c r="H6" s="24">
        <v>1404</v>
      </c>
      <c r="I6" s="9" t="s">
        <v>1566</v>
      </c>
    </row>
    <row r="7" spans="1:9" ht="39.75" customHeight="1" x14ac:dyDescent="0.2">
      <c r="A7" s="49" t="s">
        <v>1567</v>
      </c>
      <c r="B7" s="9" t="s">
        <v>1568</v>
      </c>
      <c r="C7" s="24">
        <v>14490</v>
      </c>
      <c r="D7" s="24">
        <v>14447</v>
      </c>
      <c r="E7" s="50">
        <f t="shared" si="0"/>
        <v>0.99703243616287096</v>
      </c>
      <c r="F7" s="28">
        <v>1</v>
      </c>
      <c r="G7" s="28">
        <v>5</v>
      </c>
      <c r="H7" s="24">
        <v>2</v>
      </c>
      <c r="I7" s="9" t="s">
        <v>1569</v>
      </c>
    </row>
    <row r="8" spans="1:9" ht="39.75" customHeight="1" x14ac:dyDescent="0.2">
      <c r="A8" s="49" t="s">
        <v>1570</v>
      </c>
      <c r="B8" s="9" t="s">
        <v>1571</v>
      </c>
      <c r="C8" s="24">
        <v>6389</v>
      </c>
      <c r="D8" s="24">
        <v>6225</v>
      </c>
      <c r="E8" s="50">
        <f t="shared" si="0"/>
        <v>0.97433088120206601</v>
      </c>
      <c r="F8" s="28">
        <v>30</v>
      </c>
      <c r="G8" s="28">
        <v>137</v>
      </c>
      <c r="H8" s="24">
        <v>164</v>
      </c>
      <c r="I8" s="9" t="s">
        <v>1572</v>
      </c>
    </row>
    <row r="9" spans="1:9" ht="39.75" customHeight="1" x14ac:dyDescent="0.2">
      <c r="A9" s="49" t="s">
        <v>1241</v>
      </c>
      <c r="B9" s="9" t="s">
        <v>1573</v>
      </c>
      <c r="C9" s="24">
        <v>6537</v>
      </c>
      <c r="D9" s="24">
        <v>6217</v>
      </c>
      <c r="E9" s="50">
        <f t="shared" si="0"/>
        <v>0.95104788129111217</v>
      </c>
      <c r="F9" s="28">
        <v>44</v>
      </c>
      <c r="G9" s="28">
        <v>103</v>
      </c>
      <c r="H9" s="24">
        <v>320</v>
      </c>
      <c r="I9" s="9" t="s">
        <v>1574</v>
      </c>
    </row>
    <row r="10" spans="1:9" ht="39.75" customHeight="1" x14ac:dyDescent="0.2">
      <c r="A10" s="49" t="s">
        <v>1575</v>
      </c>
      <c r="B10" s="9" t="s">
        <v>1576</v>
      </c>
      <c r="C10" s="24">
        <v>2605</v>
      </c>
      <c r="D10" s="24">
        <v>2577</v>
      </c>
      <c r="E10" s="50">
        <f t="shared" si="0"/>
        <v>0.98925143953934735</v>
      </c>
      <c r="F10" s="28">
        <v>13</v>
      </c>
      <c r="G10" s="28">
        <v>41</v>
      </c>
      <c r="H10" s="24">
        <v>28</v>
      </c>
      <c r="I10" s="9" t="s">
        <v>1577</v>
      </c>
    </row>
    <row r="11" spans="1:9" ht="39.75" customHeight="1" x14ac:dyDescent="0.2">
      <c r="A11" s="49" t="s">
        <v>1578</v>
      </c>
      <c r="B11" s="9" t="s">
        <v>1579</v>
      </c>
      <c r="C11" s="24">
        <v>1337</v>
      </c>
      <c r="D11" s="24">
        <v>1110</v>
      </c>
      <c r="E11" s="51">
        <f t="shared" si="0"/>
        <v>0.83021690351533284</v>
      </c>
      <c r="F11" s="28">
        <v>10</v>
      </c>
      <c r="G11" s="28">
        <v>167</v>
      </c>
      <c r="H11" s="24">
        <v>215</v>
      </c>
      <c r="I11" s="9" t="s">
        <v>1580</v>
      </c>
    </row>
    <row r="12" spans="1:9" ht="39.75" customHeight="1" x14ac:dyDescent="0.2">
      <c r="A12" s="49" t="s">
        <v>1581</v>
      </c>
      <c r="B12" s="9" t="s">
        <v>1582</v>
      </c>
      <c r="C12" s="24">
        <v>1196</v>
      </c>
      <c r="D12" s="24">
        <v>959</v>
      </c>
      <c r="E12" s="51">
        <f t="shared" si="0"/>
        <v>0.80183946488294311</v>
      </c>
      <c r="F12" s="28">
        <v>16</v>
      </c>
      <c r="G12" s="28">
        <v>52</v>
      </c>
      <c r="H12" s="24">
        <v>237</v>
      </c>
      <c r="I12" s="9" t="s">
        <v>1583</v>
      </c>
    </row>
    <row r="13" spans="1:9" ht="39.75" customHeight="1" x14ac:dyDescent="0.2">
      <c r="A13" s="49" t="s">
        <v>1584</v>
      </c>
      <c r="B13" s="9" t="s">
        <v>1585</v>
      </c>
      <c r="C13" s="24">
        <v>1039</v>
      </c>
      <c r="D13" s="24">
        <v>1038</v>
      </c>
      <c r="E13" s="50">
        <f t="shared" si="0"/>
        <v>0.99903753609239654</v>
      </c>
      <c r="F13" s="28">
        <v>2</v>
      </c>
      <c r="G13" s="28">
        <v>34</v>
      </c>
      <c r="H13" s="24">
        <v>1</v>
      </c>
      <c r="I13" s="9" t="s">
        <v>1586</v>
      </c>
    </row>
    <row r="14" spans="1:9" ht="39.75" customHeight="1" x14ac:dyDescent="0.2">
      <c r="A14" s="49" t="s">
        <v>1587</v>
      </c>
      <c r="B14" s="9" t="s">
        <v>1579</v>
      </c>
      <c r="C14" s="24">
        <v>606</v>
      </c>
      <c r="D14" s="24">
        <v>581</v>
      </c>
      <c r="E14" s="50">
        <f t="shared" si="0"/>
        <v>0.95874587458745875</v>
      </c>
      <c r="F14" s="28"/>
      <c r="G14" s="28">
        <v>479</v>
      </c>
      <c r="H14" s="24">
        <v>25</v>
      </c>
      <c r="I14" s="9" t="s">
        <v>1588</v>
      </c>
    </row>
    <row r="15" spans="1:9" ht="39.75" customHeight="1" x14ac:dyDescent="0.2">
      <c r="A15" s="49" t="s">
        <v>1589</v>
      </c>
      <c r="B15" s="9" t="s">
        <v>1590</v>
      </c>
      <c r="C15" s="24">
        <v>229</v>
      </c>
      <c r="D15" s="24">
        <v>226</v>
      </c>
      <c r="E15" s="50">
        <f t="shared" si="0"/>
        <v>0.98689956331877726</v>
      </c>
      <c r="F15" s="28">
        <v>71</v>
      </c>
      <c r="G15" s="28">
        <v>99</v>
      </c>
      <c r="H15" s="24">
        <v>3</v>
      </c>
      <c r="I15" s="9" t="s">
        <v>1591</v>
      </c>
    </row>
    <row r="16" spans="1:9" ht="39.75" customHeight="1" x14ac:dyDescent="0.2">
      <c r="A16" s="49" t="s">
        <v>1592</v>
      </c>
      <c r="B16" s="9" t="s">
        <v>1593</v>
      </c>
      <c r="C16" s="24">
        <v>208</v>
      </c>
      <c r="D16" s="24">
        <v>207</v>
      </c>
      <c r="E16" s="50">
        <f t="shared" si="0"/>
        <v>0.99519230769230771</v>
      </c>
      <c r="F16" s="28">
        <v>21</v>
      </c>
      <c r="G16" s="28">
        <v>71</v>
      </c>
      <c r="H16" s="24">
        <v>1</v>
      </c>
      <c r="I16" s="9" t="s">
        <v>1594</v>
      </c>
    </row>
    <row r="17" spans="1:9" ht="39.75" customHeight="1" x14ac:dyDescent="0.2">
      <c r="A17" s="49" t="s">
        <v>1595</v>
      </c>
      <c r="B17" s="9" t="s">
        <v>1596</v>
      </c>
      <c r="C17" s="24">
        <v>14</v>
      </c>
      <c r="D17" s="24">
        <v>14</v>
      </c>
      <c r="E17" s="50">
        <f t="shared" si="0"/>
        <v>1</v>
      </c>
      <c r="F17" s="28">
        <v>0</v>
      </c>
      <c r="G17" s="28">
        <v>3</v>
      </c>
      <c r="H17" s="24">
        <v>0</v>
      </c>
      <c r="I17" s="9" t="s">
        <v>1597</v>
      </c>
    </row>
    <row r="18" spans="1:9" ht="39.75" customHeight="1" x14ac:dyDescent="0.2">
      <c r="A18" s="49" t="s">
        <v>1598</v>
      </c>
      <c r="B18" s="9" t="s">
        <v>1599</v>
      </c>
      <c r="C18" s="24">
        <v>1</v>
      </c>
      <c r="D18" s="24">
        <v>1</v>
      </c>
      <c r="E18" s="50">
        <f t="shared" si="0"/>
        <v>1</v>
      </c>
      <c r="F18" s="28">
        <v>0</v>
      </c>
      <c r="G18" s="28">
        <v>0</v>
      </c>
      <c r="H18" s="24">
        <v>0</v>
      </c>
      <c r="I18" s="9" t="s">
        <v>1600</v>
      </c>
    </row>
    <row r="19" spans="1:9" ht="26" x14ac:dyDescent="0.2">
      <c r="A19" s="49" t="s">
        <v>1601</v>
      </c>
      <c r="B19" s="52" t="s">
        <v>1602</v>
      </c>
      <c r="C19" s="53">
        <f>SUM(C6:C18)</f>
        <v>127784</v>
      </c>
      <c r="D19" s="53">
        <f>SUM(D6:D18)</f>
        <v>125331</v>
      </c>
      <c r="E19" s="54">
        <f t="shared" si="0"/>
        <v>0.98080354347962184</v>
      </c>
      <c r="F19" s="55"/>
      <c r="G19" s="55"/>
      <c r="H19" s="55"/>
      <c r="I19" s="49" t="s">
        <v>1603</v>
      </c>
    </row>
    <row r="21" spans="1:9" ht="15" customHeight="1" x14ac:dyDescent="0.2">
      <c r="A21" s="61" t="s">
        <v>1604</v>
      </c>
      <c r="B21" s="61"/>
      <c r="C21" s="61"/>
      <c r="D21" s="61"/>
      <c r="E21" s="61"/>
      <c r="F21" s="61"/>
      <c r="G21" s="61"/>
      <c r="H21" s="61"/>
      <c r="I21" s="61"/>
    </row>
    <row r="22" spans="1:9" x14ac:dyDescent="0.2">
      <c r="A22" s="61"/>
      <c r="B22" s="61"/>
      <c r="C22" s="61"/>
      <c r="D22" s="61"/>
      <c r="E22" s="61"/>
      <c r="F22" s="61"/>
      <c r="G22" s="61"/>
      <c r="H22" s="61"/>
      <c r="I22" s="61"/>
    </row>
    <row r="23" spans="1:9" x14ac:dyDescent="0.2">
      <c r="A23" s="61"/>
      <c r="B23" s="61"/>
      <c r="C23" s="61"/>
      <c r="D23" s="61"/>
      <c r="E23" s="61"/>
      <c r="F23" s="61"/>
      <c r="G23" s="61"/>
      <c r="H23" s="61"/>
      <c r="I23" s="61"/>
    </row>
    <row r="24" spans="1:9" x14ac:dyDescent="0.2">
      <c r="A24" s="61"/>
      <c r="B24" s="61"/>
      <c r="C24" s="61"/>
      <c r="D24" s="61"/>
      <c r="E24" s="61"/>
      <c r="F24" s="61"/>
      <c r="G24" s="61"/>
      <c r="H24" s="61"/>
      <c r="I24" s="61"/>
    </row>
  </sheetData>
  <mergeCells count="3">
    <mergeCell ref="A2:I2"/>
    <mergeCell ref="A3:I3"/>
    <mergeCell ref="A21:I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 · Read Me &amp; Method</vt:lpstr>
      <vt:lpstr>1 · Source Files</vt:lpstr>
      <vt:lpstr>2 · Data Quality Log</vt:lpstr>
      <vt:lpstr>3 · Table A — As Presented</vt:lpstr>
      <vt:lpstr>4 · Table B — Re-weighted</vt:lpstr>
      <vt:lpstr>5 · Gaps &amp; Needed Data</vt:lpstr>
      <vt:lpstr>6 · PowerBI Source Catalog</vt:lpstr>
      <vt:lpstr>7 · Target90 Capture Log</vt:lpstr>
      <vt:lpstr>8 · Target90 Headline Data</vt:lpstr>
      <vt:lpstr>9 · Target90 Full Capture</vt:lpstr>
      <vt:lpstr>10 · Corrected Completion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Brett Butz</cp:lastModifiedBy>
  <cp:revision>0</cp:revision>
  <dcterms:created xsi:type="dcterms:W3CDTF">2026-06-17T19:35:36Z</dcterms:created>
  <dcterms:modified xsi:type="dcterms:W3CDTF">2026-06-23T22:37:52Z</dcterms:modified>
  <dc:language>en-US</dc:language>
</cp:coreProperties>
</file>