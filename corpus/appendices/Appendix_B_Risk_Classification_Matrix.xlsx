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Scoring Too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Draft 1: "SCDES AI Governance Framework — Final, May 2026" -&gt; changed per RULE-09 (canonical title/date string; "Final, May 2026" stamp removed, blank left for adoption date).</t>
        </r>
      </text>
    </comment>
    <comment ref="A29" authorId="0">
      <text>
        <r>
          <rPr>
            <sz val="10"/>
            <rFont val="Arial"/>
            <family val="2"/>
          </rPr>
          <t xml:space="preserve">Draft 1: "Use Case Bucket:" -&gt; changed per P-1 auto-conform ("Bucket"-&gt;"Category"; framework §5 canonical "Category 1/2/3"; anti-hallucination rule 3 prohibits "Bucket").</t>
        </r>
      </text>
    </comment>
    <comment ref="D24" authorId="0">
      <text>
        <r>
          <rPr>
            <sz val="10"/>
            <rFont val="Arial"/>
            <family val="2"/>
          </rPr>
          <t xml:space="preserve">Draft 1: "AI Governance Council review plus independent external review" -&gt; changed per RULE-06 (framework §7 phrase is "independent review"; "external" removed; selector/nature reserved to Council).</t>
        </r>
      </text>
    </comment>
  </commentList>
</comments>
</file>

<file path=xl/sharedStrings.xml><?xml version="1.0" encoding="utf-8"?>
<sst xmlns="http://schemas.openxmlformats.org/spreadsheetml/2006/main" count="77" uniqueCount="77">
  <si>
    <t xml:space="preserve">APPENDIX B — AI RISK CLASSIFICATION MATRIX</t>
  </si>
  <si>
    <t xml:space="preserve">SCDES Enterprise Artificial Intelligence Governance Framework, adopted __________, 2026  |  Weighted scoring tool for AI project risk classification</t>
  </si>
  <si>
    <t xml:space="preserve">Framework Reference: Section 7 (Risk Management Policy)  |  Related: Appendix C (AI System Registry), Appendix G (Project Intake Form)</t>
  </si>
  <si>
    <t xml:space="preserve">INSTRUCTIONS: For each risk factor, select Low (1), Moderate (2), or High (3) in the Score column. Weighted scores and a suggested classification are calculated automatically. The suggested classification is advisory; the AI Governance Council retains final authority under Section 7. Any single High factor places a project at minimum Moderate Risk under Section 7, regardless of composite score. Risk classification shall be reassessed at each stage gate and at annual review.</t>
  </si>
  <si>
    <t xml:space="preserve">#</t>
  </si>
  <si>
    <t xml:space="preserve">Risk Factor</t>
  </si>
  <si>
    <t xml:space="preserve">Low (1)</t>
  </si>
  <si>
    <t xml:space="preserve">Moderate (2)</t>
  </si>
  <si>
    <t xml:space="preserve">High (3)</t>
  </si>
  <si>
    <t xml:space="preserve">Score
(1, 2, or 3)</t>
  </si>
  <si>
    <t xml:space="preserve">Weight</t>
  </si>
  <si>
    <t xml:space="preserve">Weighted
Score</t>
  </si>
  <si>
    <t xml:space="preserve">Notes / Justification</t>
  </si>
  <si>
    <t xml:space="preserve">Regulatory Impact</t>
  </si>
  <si>
    <t xml:space="preserve">No regulatory impact</t>
  </si>
  <si>
    <t xml:space="preserve">Indirect influence on operations</t>
  </si>
  <si>
    <t xml:space="preserve">Direct effect on regulatory outcomes</t>
  </si>
  <si>
    <t xml:space="preserve">Public-Facing Exposure</t>
  </si>
  <si>
    <t xml:space="preserve">Internal only; no public interaction</t>
  </si>
  <si>
    <t xml:space="preserve">Limited public interaction</t>
  </si>
  <si>
    <t xml:space="preserve">Directly affects public services or decisions</t>
  </si>
  <si>
    <t xml:space="preserve">Data Sensitivity</t>
  </si>
  <si>
    <t xml:space="preserve">Public data only</t>
  </si>
  <si>
    <t xml:space="preserve">Internal operational data</t>
  </si>
  <si>
    <t xml:space="preserve">PII, enforcement data, or legally protected data</t>
  </si>
  <si>
    <t xml:space="preserve">Reversibility</t>
  </si>
  <si>
    <t xml:space="preserve">Easily reversed; no downstream dependencies</t>
  </si>
  <si>
    <t xml:space="preserve">Reversible with moderate effort</t>
  </si>
  <si>
    <t xml:space="preserve">Difficult to reverse; downstream dependencies exist</t>
  </si>
  <si>
    <t xml:space="preserve">Community Impact</t>
  </si>
  <si>
    <t xml:space="preserve">No differential community impact expected</t>
  </si>
  <si>
    <t xml:space="preserve">Potential differential impact on communities</t>
  </si>
  <si>
    <t xml:space="preserve">Known or likely disproportionate impact on overburdened communities</t>
  </si>
  <si>
    <t xml:space="preserve">Federal Program Nexus</t>
  </si>
  <si>
    <t xml:space="preserve">No federal program connection</t>
  </si>
  <si>
    <t xml:space="preserve">Indirect federal program nexus</t>
  </si>
  <si>
    <t xml:space="preserve">Delegated federal program (NPDES, RCRA, CAA, etc.)</t>
  </si>
  <si>
    <t xml:space="preserve">COMPOSITE RESULTS</t>
  </si>
  <si>
    <t xml:space="preserve">Total Weighted Score</t>
  </si>
  <si>
    <t xml:space="preserve">Max possible: 24</t>
  </si>
  <si>
    <t xml:space="preserve">Any Single Factor = High (3)?</t>
  </si>
  <si>
    <t xml:space="preserve">Count of High (3) Factors</t>
  </si>
  <si>
    <t xml:space="preserve">Suggested Classification</t>
  </si>
  <si>
    <t xml:space="preserve">CLASSIFICATION THRESHOLDS</t>
  </si>
  <si>
    <t xml:space="preserve">Classification</t>
  </si>
  <si>
    <t xml:space="preserve">Score Range</t>
  </si>
  <si>
    <t xml:space="preserve">High Factor Count</t>
  </si>
  <si>
    <t xml:space="preserve">Approval Required</t>
  </si>
  <si>
    <t xml:space="preserve">Monitoring Level</t>
  </si>
  <si>
    <t xml:space="preserve">LOW RISK</t>
  </si>
  <si>
    <t xml:space="preserve">8–12</t>
  </si>
  <si>
    <t xml:space="preserve">Zero High factors</t>
  </si>
  <si>
    <t xml:space="preserve">Bureau-level approval sufficient</t>
  </si>
  <si>
    <t xml:space="preserve">Standard periodic review per Appendix J</t>
  </si>
  <si>
    <t xml:space="preserve">MODERATE RISK</t>
  </si>
  <si>
    <t xml:space="preserve">13–17 or any single High factor</t>
  </si>
  <si>
    <t xml:space="preserve">Any project with one or more High factors classifies at minimum Moderate Risk per Section 7</t>
  </si>
  <si>
    <t xml:space="preserve">AI Governance Council review required</t>
  </si>
  <si>
    <t xml:space="preserve">Enhanced monitoring; quarterly performance review</t>
  </si>
  <si>
    <t xml:space="preserve">HIGH RISK</t>
  </si>
  <si>
    <t xml:space="preserve">18–24 or two or more High factors</t>
  </si>
  <si>
    <t xml:space="preserve">Two or more High factors</t>
  </si>
  <si>
    <t xml:space="preserve">AI Governance Council review plus independent review [selector and internal/external nature reserved to the Council]</t>
  </si>
  <si>
    <t xml:space="preserve">Continuous monitoring; documented incident response plan required</t>
  </si>
  <si>
    <t xml:space="preserve">PROJECT INFORMATION</t>
  </si>
  <si>
    <t xml:space="preserve">Project Name:</t>
  </si>
  <si>
    <t xml:space="preserve">Registry ID (from Appendix C):</t>
  </si>
  <si>
    <t xml:space="preserve">Use Case Category:</t>
  </si>
  <si>
    <t xml:space="preserve">Assessed By:</t>
  </si>
  <si>
    <t xml:space="preserve">Assessment Date:</t>
  </si>
  <si>
    <t xml:space="preserve">FINAL RISK CLASSIFICATION DETERMINATION</t>
  </si>
  <si>
    <t xml:space="preserve">Final Classification:</t>
  </si>
  <si>
    <t xml:space="preserve">Justification (if deviating from suggested):</t>
  </si>
  <si>
    <t xml:space="preserve">AI Governance Council Reviewer:</t>
  </si>
  <si>
    <t xml:space="preserve">Council Review Date:</t>
  </si>
  <si>
    <t xml:space="preserve">Council Decision:</t>
  </si>
  <si>
    <t xml:space="preserve">NOTE: This matrix is the operational scoring tool referenced by Section 7 of the Framework. The suggested classification produced in cell F18 reflects the weighted score and High-factor count only. Per Section 7 of the Framework, the AI Governance Council exercises final risk-classification authority and may adjust the classification upward where warranted by case-specific considerations not captured in the weighted score. Any single High factor results in at minimum a Moderate Risk classification. Two or more High factors result in a High Risk classification regardless of composite score.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</si>
</sst>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2E75B6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8F0FE"/>
        <bgColor rgb="FFF5F5F5"/>
      </patternFill>
    </fill>
    <fill>
      <patternFill patternType="solid">
        <fgColor rgb="FFD6E4F0"/>
        <bgColor rgb="FFD9EAD3"/>
      </patternFill>
    </fill>
    <fill>
      <patternFill patternType="solid">
        <fgColor rgb="FFD9EAD3"/>
        <bgColor rgb="FFD6E4F0"/>
      </patternFill>
    </fill>
    <fill>
      <patternFill patternType="solid">
        <fgColor rgb="FFFFF2CC"/>
        <bgColor rgb="FFF5F5F5"/>
      </patternFill>
    </fill>
    <fill>
      <patternFill patternType="solid">
        <fgColor rgb="FFF4CCCC"/>
        <bgColor rgb="FFD6E4F0"/>
      </patternFill>
    </fill>
    <fill>
      <patternFill patternType="solid">
        <fgColor rgb="FFF5F5F5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2CC"/>
      <rgbColor rgb="FFE8F0FE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9EAD3"/>
      <rgbColor rgb="FFFFFF99"/>
      <rgbColor rgb="FF99CCFF"/>
      <rgbColor rgb="FFFF99CC"/>
      <rgbColor rgb="FFCC99FF"/>
      <rgbColor rgb="FFF4CCCC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I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6"/>
    <col collapsed="false" customWidth="true" hidden="false" outlineLevel="0" max="5" min="3" style="1" width="28"/>
    <col collapsed="false" customWidth="true" hidden="false" outlineLevel="0" max="6" min="6" style="1" width="13"/>
    <col collapsed="false" customWidth="true" hidden="false" outlineLevel="0" max="7" min="7" style="1" width="8"/>
    <col collapsed="false" customWidth="true" hidden="false" outlineLevel="0" max="8" min="8" style="1" width="12"/>
    <col collapsed="false" customWidth="true" hidden="false" outlineLevel="0" max="9" min="9" style="1" width="3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</row>
    <row r="4" customFormat="false" ht="60" hidden="false" customHeight="tru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</row>
    <row r="6" customFormat="false" ht="26.25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</row>
    <row r="7" customFormat="false" ht="34.5" hidden="false" customHeight="true" outlineLevel="0" collapsed="false">
      <c r="A7" s="7" t="n">
        <v>1</v>
      </c>
      <c r="B7" s="8" t="s">
        <v>13</v>
      </c>
      <c r="C7" s="7" t="s">
        <v>14</v>
      </c>
      <c r="D7" s="7" t="s">
        <v>15</v>
      </c>
      <c r="E7" s="7" t="s">
        <v>16</v>
      </c>
      <c r="F7" s="9"/>
      <c r="G7" s="7" t="n">
        <v>1.5</v>
      </c>
      <c r="H7" s="8" t="str">
        <f aca="false">IF(F7="","",F7*G7)</f>
        <v/>
      </c>
      <c r="I7" s="10"/>
    </row>
    <row r="8" customFormat="false" ht="34.5" hidden="false" customHeight="true" outlineLevel="0" collapsed="false">
      <c r="A8" s="7" t="n">
        <v>2</v>
      </c>
      <c r="B8" s="8" t="s">
        <v>17</v>
      </c>
      <c r="C8" s="7" t="s">
        <v>18</v>
      </c>
      <c r="D8" s="7" t="s">
        <v>19</v>
      </c>
      <c r="E8" s="7" t="s">
        <v>20</v>
      </c>
      <c r="F8" s="9"/>
      <c r="G8" s="7" t="n">
        <v>1</v>
      </c>
      <c r="H8" s="8" t="str">
        <f aca="false">IF(F8="","",F8*G8)</f>
        <v/>
      </c>
      <c r="I8" s="10"/>
    </row>
    <row r="9" customFormat="false" ht="34.5" hidden="false" customHeight="true" outlineLevel="0" collapsed="false">
      <c r="A9" s="7" t="n">
        <v>3</v>
      </c>
      <c r="B9" s="8" t="s">
        <v>21</v>
      </c>
      <c r="C9" s="7" t="s">
        <v>22</v>
      </c>
      <c r="D9" s="7" t="s">
        <v>23</v>
      </c>
      <c r="E9" s="7" t="s">
        <v>24</v>
      </c>
      <c r="F9" s="9"/>
      <c r="G9" s="7" t="n">
        <v>1.5</v>
      </c>
      <c r="H9" s="8" t="str">
        <f aca="false">IF(F9="","",F9*G9)</f>
        <v/>
      </c>
      <c r="I9" s="10"/>
    </row>
    <row r="10" customFormat="false" ht="34.5" hidden="false" customHeight="true" outlineLevel="0" collapsed="false">
      <c r="A10" s="7" t="n">
        <v>4</v>
      </c>
      <c r="B10" s="8" t="s">
        <v>25</v>
      </c>
      <c r="C10" s="7" t="s">
        <v>26</v>
      </c>
      <c r="D10" s="7" t="s">
        <v>27</v>
      </c>
      <c r="E10" s="7" t="s">
        <v>28</v>
      </c>
      <c r="F10" s="9"/>
      <c r="G10" s="7" t="n">
        <v>1</v>
      </c>
      <c r="H10" s="8" t="str">
        <f aca="false">IF(F10="","",F10*G10)</f>
        <v/>
      </c>
      <c r="I10" s="10"/>
    </row>
    <row r="11" customFormat="false" ht="34.5" hidden="false" customHeight="true" outlineLevel="0" collapsed="false">
      <c r="A11" s="7" t="n">
        <v>5</v>
      </c>
      <c r="B11" s="8" t="s">
        <v>29</v>
      </c>
      <c r="C11" s="7" t="s">
        <v>30</v>
      </c>
      <c r="D11" s="7" t="s">
        <v>31</v>
      </c>
      <c r="E11" s="7" t="s">
        <v>32</v>
      </c>
      <c r="F11" s="9"/>
      <c r="G11" s="7" t="n">
        <v>1.5</v>
      </c>
      <c r="H11" s="8" t="str">
        <f aca="false">IF(F11="","",F11*G11)</f>
        <v/>
      </c>
      <c r="I11" s="10"/>
    </row>
    <row r="12" customFormat="false" ht="34.5" hidden="false" customHeight="true" outlineLevel="0" collapsed="false">
      <c r="A12" s="7" t="n">
        <v>6</v>
      </c>
      <c r="B12" s="8" t="s">
        <v>33</v>
      </c>
      <c r="C12" s="7" t="s">
        <v>34</v>
      </c>
      <c r="D12" s="7" t="s">
        <v>35</v>
      </c>
      <c r="E12" s="7" t="s">
        <v>36</v>
      </c>
      <c r="F12" s="9"/>
      <c r="G12" s="7" t="n">
        <v>1.5</v>
      </c>
      <c r="H12" s="8" t="str">
        <f aca="false">IF(F12="","",F12*G12)</f>
        <v/>
      </c>
      <c r="I12" s="10"/>
    </row>
    <row r="14" customFormat="false" ht="15" hidden="false" customHeight="true" outlineLevel="0" collapsed="false">
      <c r="A14" s="11" t="s">
        <v>37</v>
      </c>
      <c r="B14" s="11"/>
      <c r="C14" s="11"/>
      <c r="D14" s="11"/>
      <c r="E14" s="11"/>
      <c r="F14" s="11"/>
      <c r="G14" s="11"/>
      <c r="H14" s="11"/>
      <c r="I14" s="11"/>
    </row>
    <row r="15" customFormat="false" ht="21.75" hidden="false" customHeight="true" outlineLevel="0" collapsed="false">
      <c r="A15" s="12"/>
      <c r="B15" s="8" t="s">
        <v>38</v>
      </c>
      <c r="C15" s="12"/>
      <c r="D15" s="12"/>
      <c r="E15" s="12"/>
      <c r="F15" s="13" t="n">
        <f aca="false">SUM(H7:H12)</f>
        <v>0</v>
      </c>
      <c r="G15" s="12"/>
      <c r="H15" s="14" t="s">
        <v>39</v>
      </c>
      <c r="I15" s="12"/>
    </row>
    <row r="16" customFormat="false" ht="23.25" hidden="false" customHeight="true" outlineLevel="0" collapsed="false">
      <c r="A16" s="12"/>
      <c r="B16" s="8" t="s">
        <v>40</v>
      </c>
      <c r="C16" s="12"/>
      <c r="D16" s="12"/>
      <c r="E16" s="12"/>
      <c r="F16" s="15" t="str">
        <f aca="false">IF(COUNTIF(F7:F12,3)&gt;0,"YES","NO")</f>
        <v>NO</v>
      </c>
      <c r="G16" s="12"/>
      <c r="H16" s="12"/>
      <c r="I16" s="12"/>
    </row>
    <row r="17" customFormat="false" ht="23.25" hidden="false" customHeight="true" outlineLevel="0" collapsed="false">
      <c r="A17" s="12"/>
      <c r="B17" s="8" t="s">
        <v>41</v>
      </c>
      <c r="C17" s="12"/>
      <c r="D17" s="12"/>
      <c r="E17" s="12"/>
      <c r="F17" s="15" t="n">
        <f aca="false">COUNTIF(F7:F12,3)</f>
        <v>0</v>
      </c>
      <c r="G17" s="12"/>
      <c r="H17" s="12"/>
      <c r="I17" s="12"/>
    </row>
    <row r="18" customFormat="false" ht="15" hidden="false" customHeight="true" outlineLevel="0" collapsed="false">
      <c r="A18" s="12"/>
      <c r="B18" s="8" t="s">
        <v>42</v>
      </c>
      <c r="C18" s="12"/>
      <c r="D18" s="12"/>
      <c r="E18" s="12"/>
      <c r="F18" s="16" t="str">
        <f aca="false">IF(COUNTIF(F7:F12,3)&gt;=2,"HIGH RISK",IF(SUM(H7:H12)&gt;=18,"HIGH RISK",IF(SUM(H7:H12)&gt;=13,"MODERATE RISK",IF(SUM(H7:H12)&gt;=8,"LOW RISK","INCOMPLETE"))))</f>
        <v>INCOMPLETE</v>
      </c>
      <c r="G18" s="16"/>
      <c r="H18" s="16"/>
      <c r="I18" s="12"/>
    </row>
    <row r="20" customFormat="false" ht="15" hidden="false" customHeight="true" outlineLevel="0" collapsed="false">
      <c r="A20" s="11" t="s">
        <v>43</v>
      </c>
      <c r="B20" s="11"/>
      <c r="C20" s="11"/>
      <c r="D20" s="11"/>
      <c r="E20" s="11"/>
      <c r="F20" s="11"/>
      <c r="G20" s="11"/>
      <c r="H20" s="11"/>
      <c r="I20" s="11"/>
    </row>
    <row r="21" customFormat="false" ht="36" hidden="false" customHeight="true" outlineLevel="0" collapsed="false">
      <c r="A21" s="6" t="s">
        <v>44</v>
      </c>
      <c r="B21" s="6" t="s">
        <v>45</v>
      </c>
      <c r="C21" s="6" t="s">
        <v>46</v>
      </c>
      <c r="D21" s="6" t="s">
        <v>47</v>
      </c>
      <c r="E21" s="6" t="s">
        <v>48</v>
      </c>
    </row>
    <row r="22" customFormat="false" ht="36" hidden="false" customHeight="true" outlineLevel="0" collapsed="false">
      <c r="A22" s="17" t="s">
        <v>49</v>
      </c>
      <c r="B22" s="18" t="s">
        <v>50</v>
      </c>
      <c r="C22" s="18" t="s">
        <v>51</v>
      </c>
      <c r="D22" s="18" t="s">
        <v>52</v>
      </c>
      <c r="E22" s="18" t="s">
        <v>53</v>
      </c>
    </row>
    <row r="23" customFormat="false" ht="36" hidden="false" customHeight="true" outlineLevel="0" collapsed="false">
      <c r="A23" s="19" t="s">
        <v>54</v>
      </c>
      <c r="B23" s="20" t="s">
        <v>55</v>
      </c>
      <c r="C23" s="20" t="s">
        <v>56</v>
      </c>
      <c r="D23" s="20" t="s">
        <v>57</v>
      </c>
      <c r="E23" s="20" t="s">
        <v>58</v>
      </c>
    </row>
    <row r="24" customFormat="false" ht="36" hidden="false" customHeight="true" outlineLevel="0" collapsed="false">
      <c r="A24" s="21" t="s">
        <v>59</v>
      </c>
      <c r="B24" s="22" t="s">
        <v>60</v>
      </c>
      <c r="C24" s="22" t="s">
        <v>61</v>
      </c>
      <c r="D24" s="22" t="s">
        <v>62</v>
      </c>
      <c r="E24" s="22" t="s">
        <v>63</v>
      </c>
    </row>
    <row r="26" customFormat="false" ht="15" hidden="false" customHeight="true" outlineLevel="0" collapsed="false">
      <c r="A26" s="11" t="s">
        <v>64</v>
      </c>
      <c r="B26" s="11"/>
      <c r="C26" s="11"/>
      <c r="D26" s="11"/>
      <c r="E26" s="11"/>
      <c r="F26" s="11"/>
      <c r="G26" s="11"/>
      <c r="H26" s="11"/>
      <c r="I26" s="11"/>
    </row>
    <row r="27" customFormat="false" ht="15" hidden="false" customHeight="true" outlineLevel="0" collapsed="false">
      <c r="A27" s="23" t="s">
        <v>65</v>
      </c>
      <c r="B27" s="24"/>
      <c r="C27" s="24"/>
      <c r="D27" s="24"/>
    </row>
    <row r="28" customFormat="false" ht="15" hidden="false" customHeight="true" outlineLevel="0" collapsed="false">
      <c r="A28" s="23" t="s">
        <v>66</v>
      </c>
      <c r="B28" s="24"/>
      <c r="C28" s="24"/>
      <c r="D28" s="24"/>
    </row>
    <row r="29" customFormat="false" ht="15" hidden="false" customHeight="true" outlineLevel="0" collapsed="false">
      <c r="A29" s="23" t="s">
        <v>67</v>
      </c>
      <c r="B29" s="24"/>
      <c r="C29" s="24"/>
      <c r="D29" s="24"/>
    </row>
    <row r="30" customFormat="false" ht="15" hidden="false" customHeight="true" outlineLevel="0" collapsed="false">
      <c r="A30" s="23" t="s">
        <v>68</v>
      </c>
      <c r="B30" s="24"/>
      <c r="C30" s="24"/>
      <c r="D30" s="24"/>
    </row>
    <row r="31" customFormat="false" ht="15" hidden="false" customHeight="true" outlineLevel="0" collapsed="false">
      <c r="A31" s="23" t="s">
        <v>69</v>
      </c>
      <c r="B31" s="24"/>
      <c r="C31" s="24"/>
      <c r="D31" s="24"/>
    </row>
    <row r="33" customFormat="false" ht="15" hidden="false" customHeight="true" outlineLevel="0" collapsed="false">
      <c r="A33" s="11" t="s">
        <v>70</v>
      </c>
      <c r="B33" s="11"/>
      <c r="C33" s="11"/>
      <c r="D33" s="11"/>
      <c r="E33" s="11"/>
      <c r="F33" s="11"/>
      <c r="G33" s="11"/>
      <c r="H33" s="11"/>
      <c r="I33" s="11"/>
    </row>
    <row r="34" customFormat="false" ht="15" hidden="false" customHeight="true" outlineLevel="0" collapsed="false">
      <c r="A34" s="25" t="s">
        <v>71</v>
      </c>
      <c r="B34" s="26"/>
      <c r="C34" s="26"/>
      <c r="D34" s="26"/>
    </row>
    <row r="35" customFormat="false" ht="49.5" hidden="false" customHeight="true" outlineLevel="0" collapsed="false">
      <c r="A35" s="8" t="s">
        <v>72</v>
      </c>
      <c r="B35" s="24"/>
      <c r="C35" s="24"/>
      <c r="D35" s="24"/>
      <c r="E35" s="24"/>
      <c r="F35" s="24"/>
      <c r="G35" s="24"/>
      <c r="H35" s="24"/>
      <c r="I35" s="24"/>
    </row>
    <row r="37" customFormat="false" ht="15" hidden="false" customHeight="true" outlineLevel="0" collapsed="false">
      <c r="A37" s="23" t="s">
        <v>73</v>
      </c>
      <c r="B37" s="24"/>
      <c r="C37" s="24"/>
      <c r="D37" s="24"/>
    </row>
    <row r="38" customFormat="false" ht="15" hidden="false" customHeight="true" outlineLevel="0" collapsed="false">
      <c r="A38" s="23" t="s">
        <v>74</v>
      </c>
      <c r="B38" s="24"/>
      <c r="C38" s="24"/>
      <c r="D38" s="24"/>
    </row>
    <row r="39" customFormat="false" ht="15" hidden="false" customHeight="true" outlineLevel="0" collapsed="false">
      <c r="A39" s="23" t="s">
        <v>75</v>
      </c>
      <c r="B39" s="24"/>
      <c r="C39" s="24"/>
      <c r="D39" s="24"/>
    </row>
    <row r="41" customFormat="false" ht="60" hidden="false" customHeight="true" outlineLevel="0" collapsed="false">
      <c r="A41" s="27" t="s">
        <v>76</v>
      </c>
      <c r="B41" s="27"/>
      <c r="C41" s="27"/>
      <c r="D41" s="27"/>
      <c r="E41" s="27"/>
      <c r="F41" s="27"/>
      <c r="G41" s="27"/>
      <c r="H41" s="27"/>
      <c r="I41" s="27"/>
    </row>
  </sheetData>
  <mergeCells count="20">
    <mergeCell ref="A1:I1"/>
    <mergeCell ref="A2:I2"/>
    <mergeCell ref="A3:I3"/>
    <mergeCell ref="A4:I4"/>
    <mergeCell ref="A14:I14"/>
    <mergeCell ref="F18:H18"/>
    <mergeCell ref="A20:I20"/>
    <mergeCell ref="A26:I26"/>
    <mergeCell ref="B27:D27"/>
    <mergeCell ref="B28:D28"/>
    <mergeCell ref="B29:D29"/>
    <mergeCell ref="B30:D30"/>
    <mergeCell ref="B31:D31"/>
    <mergeCell ref="A33:I33"/>
    <mergeCell ref="B34:D34"/>
    <mergeCell ref="B35:I35"/>
    <mergeCell ref="B37:D37"/>
    <mergeCell ref="B38:D38"/>
    <mergeCell ref="B39:D39"/>
    <mergeCell ref="A41:I41"/>
  </mergeCells>
  <dataValidations count="3">
    <dataValidation allowBlank="true" error="Enter 1 (Low), 2 (Moderate), or 3 (High)" errorStyle="stop" errorTitle="Invalid Score" operator="between" prompt="1=Low, 2=Moderate, 3=High" promptTitle="Risk Score" showDropDown="false" showErrorMessage="false" showInputMessage="false" sqref="F7:F12" type="list">
      <formula1>"1,2,3"</formula1>
      <formula2>0</formula2>
    </dataValidation>
    <dataValidation allowBlank="false" errorStyle="stop" operator="between" showDropDown="false" showErrorMessage="false" showInputMessage="false" sqref="B34" type="list">
      <formula1>"Low Risk,Moderate Risk,High Risk"</formula1>
      <formula2>0</formula2>
    </dataValidation>
    <dataValidation allowBlank="false" errorStyle="stop" operator="between" showDropDown="false" showErrorMessage="false" showInputMessage="false" sqref="B39" type="list">
      <formula1>"Approved,Approved with Conditions,Requires External Review,Rejected"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&amp;R&amp;"Arial,Italic"&amp;8  SCDES AI Governance Framework — Final, May 2026</oddHeader>
    <oddFooter>&amp;L&amp;"Arial,Italic"&amp;8 Appendix_B_Risk_Classification_Matrix&amp;R&amp;"Arial,Regular"&amp;9 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2026-03-20T00:56:54Z</dcterms:created>
  <dc:creator>openpyxl</dc:creator>
  <dc:description/>
  <dc:language>en-US</dc:language>
  <cp:lastModifiedBy/>
  <dcterms:modified xsi:type="dcterms:W3CDTF">2026-07-09T00:26:52Z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