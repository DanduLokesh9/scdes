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tion Scoring Tool" sheetId="1" state="visible" r:id="rId3"/>
    <sheet name="Evaluation Schedule" sheetId="2" state="visible" r:id="rId4"/>
    <sheet name="Instructions" sheetId="3" state="visible" r:id="rId5"/>
    <sheet name="Stopping Rules"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-&gt; RULE-09 title/date string (blank left for Council adoption date)</t>
        </r>
      </text>
    </comment>
    <comment ref="A3" authorId="0">
      <text>
        <r>
          <rPr>
            <sz val="10"/>
            <rFont val="Arial"/>
            <family val="2"/>
          </rPr>
          <t xml:space="preserve">Draft 1: "Section 16 (Performance Evaluation), Section 12 (Stage-Gate Approval Model), Section 14 (Pilot Methodology) | Related: Appendix H/K/L" -&gt; re-pointing map (§16-&gt;§4/§10A/OM§19; §12-&gt;OM§15+§6.1; §14-&gt;OM§17); RULE-11; RULE-12 (OM-anchored appendices)</t>
        </r>
      </text>
    </comment>
    <comment ref="A7" authorId="0">
      <text>
        <r>
          <rPr>
            <sz val="10"/>
            <rFont val="Arial"/>
            <family val="2"/>
          </rPr>
          <t xml:space="preserve">Draft 1: "Registry ID (Appendix C):" -&gt; RULE-01 (AI System Registry); RULE-12 (OM-anchored Appendix C)</t>
        </r>
      </text>
    </comment>
    <comment ref="B31" authorId="0">
      <text>
        <r>
          <rPr>
            <sz val="10"/>
            <rFont val="Arial"/>
            <family val="2"/>
          </rPr>
          <t xml:space="preserve">Draft 1: "Documentation completeness (Section 17 checklist)" -&gt; §17 has no signed-framework home; documentation requirements per OM §13 (RULE-11); BR-4</t>
        </r>
      </text>
    </comment>
    <comment ref="B33" authorId="0">
      <text>
        <r>
          <rPr>
            <sz val="10"/>
            <rFont val="Arial"/>
            <family val="2"/>
          </rPr>
          <t xml:space="preserve">Draft 1: "... (Bucket 2+)" -&gt; P-1 / framework §5 &amp; §10A canonical "Category 2 and Category 3" (LD-1)</t>
        </r>
      </text>
    </comment>
    <comment ref="C31" authorId="0">
      <text>
        <r>
          <rPr>
            <sz val="10"/>
            <rFont val="Arial"/>
            <family val="2"/>
          </rPr>
          <t xml:space="preserve">Draft 1: "AI System Model Card (Appendix K) review" -&gt; RULE-12 (OM-anchored appendix)</t>
        </r>
      </text>
    </comment>
    <comment ref="C33" authorId="0">
      <text>
        <r>
          <rPr>
            <sz val="10"/>
            <rFont val="Arial"/>
            <family val="2"/>
          </rPr>
          <t xml:space="preserve">Draft 1: "Appendix F (Community Impact Screening) review" -&gt; RULE-12 (OM-anchored appendix)</t>
        </r>
      </text>
    </comment>
    <comment ref="C35" authorId="0">
      <text>
        <r>
          <rPr>
            <sz val="10"/>
            <rFont val="Arial"/>
            <family val="2"/>
          </rPr>
          <t xml:space="preserve">Draft 1: "Appendix E (Vendor AI Disclosure) review" -&gt; RULE-12 (OM-anchored appendix)</t>
        </r>
      </text>
    </comment>
    <comment ref="D23" authorId="0">
      <text>
        <r>
          <rPr>
            <sz val="10"/>
            <rFont val="Arial"/>
            <family val="2"/>
          </rPr>
          <t xml:space="preserve">Draft 1: "... (Appendix K)" -&gt; RULE-12 (OM-anchored appendix scheme)</t>
        </r>
      </text>
    </comment>
    <comment ref="D73" authorId="0">
      <text>
        <r>
          <rPr>
            <sz val="10"/>
            <rFont val="Arial"/>
            <family val="2"/>
          </rPr>
          <t xml:space="preserve">Draft 1: "Suspend or sunset per Section 20" -&gt; re-pointing map §20-&gt;§12; RULE-03 annual-review sequence (mandatory review triggers Council determination; no automatic suspension). Thresholds (B73/C73) unchanged/frozen.</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Draft 1: "Full evaluation + external reviewer" -&gt; RULE-06 (no "external"; selector/nature reserved to Council)</t>
        </r>
      </text>
    </comment>
    <comment ref="C5" authorId="0">
      <text>
        <r>
          <rPr>
            <sz val="10"/>
            <rFont val="Arial"/>
            <family val="2"/>
          </rPr>
          <t xml:space="preserve">Draft 1: "Full evaluation + independent reviewer" -&gt; RULE-06 (use framework phrase "independent review")</t>
        </r>
      </text>
    </comment>
    <comment ref="C6" authorId="0">
      <text>
        <r>
          <rPr>
            <sz val="10"/>
            <rFont val="Arial"/>
            <family val="2"/>
          </rPr>
          <t xml:space="preserve">Draft 1: "Full evaluation + external reviewer + AI Governance Council consensus" -&gt; RULE-06 on "external reviewer"; "consensus" retained (grounded in OM §3.5/§4.4 Tier C decision rule, RULE-11 — frozen)</t>
        </r>
      </text>
    </comment>
    <comment ref="D6" authorId="0">
      <text>
        <r>
          <rPr>
            <sz val="10"/>
            <rFont val="Arial"/>
            <family val="2"/>
          </rPr>
          <t xml:space="preserve">Draft 1: "Full evaluation + external reviewer" -&gt; RULE-06 (no "external"; selector/nature reserved to Council)</t>
        </r>
      </text>
    </comment>
    <comment ref="E5" authorId="0">
      <text>
        <r>
          <rPr>
            <sz val="10"/>
            <rFont val="Arial"/>
            <family val="2"/>
          </rPr>
          <t xml:space="preserve">Draft 1: "Full evaluation + independent reviewer" -&gt; RULE-06 (use framework phrase "independent review")</t>
        </r>
      </text>
    </comment>
    <comment ref="E6" authorId="0">
      <text>
        <r>
          <rPr>
            <sz val="10"/>
            <rFont val="Arial"/>
            <family val="2"/>
          </rPr>
          <t xml:space="preserve">Draft 1: "Full evaluation + external reviewer" -&gt; RULE-06 (no "external"; selector/nature reserved to Council)</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Draft 1: "... incident under Section 19A ... use Appendix B ... and Appendix D ..." -&gt; re-pointing map §19A-&gt;§11 (+OM §22); RULE-12 (OM-anchored appendices). Incident-triggered re-evaluation rule itself unverified (UC-7) — text retained.</t>
        </r>
      </text>
    </comment>
    <comment ref="B5" authorId="0">
      <text>
        <r>
          <rPr>
            <sz val="10"/>
            <rFont val="Arial"/>
            <family val="2"/>
          </rPr>
          <t xml:space="preserve">Draft 1: "... independent of the project sponsor ... an external reviewer independent of the agency ... per Section 7." -&gt; RULE-06 (only "independent review"; no "external"/selector); framework §7 ("independent review in addition to Council review"). Moderate-tier applicability retained (additive, UC-6).</t>
        </r>
      </text>
    </comment>
    <comment ref="B9" authorId="0">
      <text>
        <r>
          <rPr>
            <sz val="10"/>
            <rFont val="Arial"/>
            <family val="2"/>
          </rPr>
          <t xml:space="preserve">Draft 1: "... part of the administrative record per Section 17 ... Model Card (Appendix K) ... AI System Registry (Appendix C)." -&gt; §17 phantom; records retention per framework §9A &amp; §12 (BR-5); RULE-12 (OM-anchored Appendix K/C); RULE-01 registry name intact.</t>
        </r>
      </text>
    </comment>
    <comment ref="B10" authorId="0">
      <text>
        <r>
          <rPr>
            <sz val="10"/>
            <rFont val="Arial"/>
            <family val="2"/>
          </rPr>
          <t xml:space="preserve">Draft 1: "... without Council documentation per Section 12." -&gt; §12 (stage-gate/change-control) re-points to OM §15 (signed §12 is Sunset; re-pointing map). Re-weighting substance frozen.</t>
        </r>
      </text>
    </comment>
    <comment ref="B12" authorId="0">
      <text>
        <r>
          <rPr>
            <sz val="10"/>
            <rFont val="Arial"/>
            <family val="2"/>
          </rPr>
          <t xml:space="preserve">Draft 1: "Section 7, Section 12, Section 14, and Section 16 of the SCDES AI Governance Framework ... Appendix N (Table of Authorities)." -&gt; re-pointing map (§12-&gt;OM§15; §14-&gt;OM§17; §16-&gt;§4/§10A/OM§19); framework name conform (P-1/LD-2); RULE-12 M/N fix (Appendix N Table of Authorities -&gt; Appendix M). External citations frozen.</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-&gt; RULE-09 title/date string (blank left for Council adoption date)</t>
        </r>
      </text>
    </comment>
    <comment ref="A3" authorId="0">
      <text>
        <r>
          <rPr>
            <sz val="10"/>
            <rFont val="Arial"/>
            <family val="2"/>
          </rPr>
          <t xml:space="preserve">Draft 1: "Section 12 (Stage-Gate Approval Model), Section 14 (Pilot Methodology), Section 16 (Performance Evaluation) | Related: Appendix H, Appendix N (Table of Authorities)" -&gt; re-pointing map; RULE-11; RULE-12 M/N fix</t>
        </r>
      </text>
    </comment>
    <comment ref="A10" authorId="0">
      <text>
        <r>
          <rPr>
            <sz val="10"/>
            <rFont val="Arial"/>
            <family val="2"/>
          </rPr>
          <t xml:space="preserve">Draft 1: "Registry ID (Appendix C):" -&gt; RULE-01 (AI System Registry); RULE-12 (OM-anchored Appendix C)</t>
        </r>
      </text>
    </comment>
    <comment ref="A18" authorId="0">
      <text>
        <r>
          <rPr>
            <sz val="10"/>
            <rFont val="Arial"/>
            <family val="2"/>
          </rPr>
          <t xml:space="preserve">Draft 1: "... recorded in the Model Card (Appendix K)." -&gt; RULE-12 (OM-anchored appendix). Stopping-rule substance (α, severe-failure definitions, Clopper–Pearson) frozen.</t>
        </r>
      </text>
    </comment>
    <comment ref="A52" authorId="0">
      <text>
        <r>
          <rPr>
            <sz val="10"/>
            <rFont val="Arial"/>
            <family val="2"/>
          </rPr>
          <t xml:space="preserve">Draft 1: "... documentation per Section 12 ... Model Card (Appendix K)." -&gt; §12 change-control re-points to OM §15 (signed §12 is Sunset); RULE-12 (OM-anchored appendix). α/β/threshold parameters frozen.</t>
        </r>
      </text>
    </comment>
    <comment ref="A68" authorId="0">
      <text>
        <r>
          <rPr>
            <sz val="10"/>
            <rFont val="Arial"/>
            <family val="2"/>
          </rPr>
          <t xml:space="preserve">Draft 1: "... Full citations in Appendix N." -&gt; RULE-12 M/N fix (Table of Authorities = Appendix M) + OM anchor. All source citations frozen.</t>
        </r>
      </text>
    </comment>
  </commentList>
</comments>
</file>

<file path=xl/sharedStrings.xml><?xml version="1.0" encoding="utf-8"?>
<sst xmlns="http://schemas.openxmlformats.org/spreadsheetml/2006/main" count="292" uniqueCount="246">
  <si>
    <t xml:space="preserve">APPENDIX J — STANDARDIZED AI EVALUATION METHODOLOGY</t>
  </si>
  <si>
    <t xml:space="preserve">SCDES Enterprise Artificial Intelligence Governance Framework, adopted __________, 2026  |  Quantitative evaluation scoring for AI system performance at each gate review and annual review</t>
  </si>
  <si>
    <t xml:space="preserve">Framework Reference: Section 4 (Measurable Value) and Section 10A; evaluation procedure per SCDES AI Operations Manual §19 (Performance Evaluation); Stage-Gate Approval per SCDES AI Operations Manual §15 (Council phase approvals under Section 6.1); Pilot Methodology per SCDES AI Operations Manual §17  |  Related: SCDES AI Operations Manual Appendix H (Gate Review Checklists), Appendix K (AI System Model Card), Appendix L (Incident Report)</t>
  </si>
  <si>
    <t xml:space="preserve">PROJECT INFORMATION</t>
  </si>
  <si>
    <t xml:space="preserve">System Name:</t>
  </si>
  <si>
    <t xml:space="preserve">AI System Registry ID (SCDES AI Operations Manual, Appendix C):</t>
  </si>
  <si>
    <t xml:space="preserve">Evaluation Date:</t>
  </si>
  <si>
    <t xml:space="preserve">Evaluator(s):</t>
  </si>
  <si>
    <t xml:space="preserve">Current Gate / Review Cycle:</t>
  </si>
  <si>
    <t xml:space="preserve">Risk Classification:</t>
  </si>
  <si>
    <t xml:space="preserve">DOMAIN 1: OPERATIONAL PERFORMANCE (Weight: 25%)</t>
  </si>
  <si>
    <t xml:space="preserve">#</t>
  </si>
  <si>
    <t xml:space="preserve">Evaluation Criterion</t>
  </si>
  <si>
    <t xml:space="preserve">Measurement Method</t>
  </si>
  <si>
    <t xml:space="preserve">Target / Threshold</t>
  </si>
  <si>
    <t xml:space="preserve">Actual Result</t>
  </si>
  <si>
    <t xml:space="preserve">Score (1-5)</t>
  </si>
  <si>
    <t xml:space="preserve">Evidence / Notes</t>
  </si>
  <si>
    <t xml:space="preserve">1.1</t>
  </si>
  <si>
    <t xml:space="preserve">System availability / uptime</t>
  </si>
  <si>
    <t xml:space="preserve">Monitoring logs</t>
  </si>
  <si>
    <t xml:space="preserve">≥99.5% uptime</t>
  </si>
  <si>
    <t xml:space="preserve">1.2</t>
  </si>
  <si>
    <t xml:space="preserve">Response time / latency</t>
  </si>
  <si>
    <t xml:space="preserve">Performance monitoring</t>
  </si>
  <si>
    <t xml:space="preserve">Per SLA or &lt;2 sec for user-facing</t>
  </si>
  <si>
    <t xml:space="preserve">1.3</t>
  </si>
  <si>
    <t xml:space="preserve">Throughput / processing volume</t>
  </si>
  <si>
    <t xml:space="preserve">System metrics</t>
  </si>
  <si>
    <t xml:space="preserve">Meets projected demand</t>
  </si>
  <si>
    <t xml:space="preserve">1.4</t>
  </si>
  <si>
    <t xml:space="preserve">Error rate (system-level)</t>
  </si>
  <si>
    <t xml:space="preserve">Error logs</t>
  </si>
  <si>
    <t xml:space="preserve">&lt;1% unhandled errors</t>
  </si>
  <si>
    <t xml:space="preserve">1.5</t>
  </si>
  <si>
    <t xml:space="preserve">Integration stability with existing systems</t>
  </si>
  <si>
    <t xml:space="preserve">Incident logs</t>
  </si>
  <si>
    <t xml:space="preserve">Zero integration failures/month</t>
  </si>
  <si>
    <t xml:space="preserve">DOMAIN 2: ACCURACY &amp; RELIABILITY (Weight: 25%)</t>
  </si>
  <si>
    <t xml:space="preserve">2.1</t>
  </si>
  <si>
    <t xml:space="preserve">Primary accuracy metric (precision, recall, F1, RMSE, etc.)</t>
  </si>
  <si>
    <t xml:space="preserve">Validation dataset</t>
  </si>
  <si>
    <t xml:space="preserve">Defined in AI System Model Card (SCDES AI Operations Manual, Appendix K)</t>
  </si>
  <si>
    <t xml:space="preserve">2.2</t>
  </si>
  <si>
    <t xml:space="preserve">False positive rate</t>
  </si>
  <si>
    <t xml:space="preserve">Confusion matrix</t>
  </si>
  <si>
    <t xml:space="preserve">Per risk classification tolerance</t>
  </si>
  <si>
    <t xml:space="preserve">2.3</t>
  </si>
  <si>
    <t xml:space="preserve">False negative rate</t>
  </si>
  <si>
    <t xml:space="preserve">2.4</t>
  </si>
  <si>
    <t xml:space="preserve">Model drift detection</t>
  </si>
  <si>
    <t xml:space="preserve">Statistical monitoring</t>
  </si>
  <si>
    <t xml:space="preserve">No significant drift from baseline</t>
  </si>
  <si>
    <t xml:space="preserve">2.5</t>
  </si>
  <si>
    <t xml:space="preserve">Reproducibility of results</t>
  </si>
  <si>
    <t xml:space="preserve">Re-run on test data</t>
  </si>
  <si>
    <t xml:space="preserve">±2% variance from documented results</t>
  </si>
  <si>
    <t xml:space="preserve">DOMAIN 3: COMPLIANCE &amp; GOVERNANCE (Weight: 20%)</t>
  </si>
  <si>
    <t xml:space="preserve">3.1</t>
  </si>
  <si>
    <t xml:space="preserve">Documentation completeness (per SCDES AI Operations Manual §13, Required Documentation Inventory)</t>
  </si>
  <si>
    <t xml:space="preserve">AI System Model Card (SCDES AI Operations Manual, Appendix K) review</t>
  </si>
  <si>
    <t xml:space="preserve">100% of required fields completed</t>
  </si>
  <si>
    <t xml:space="preserve">3.2</t>
  </si>
  <si>
    <t xml:space="preserve">Human oversight controls operational</t>
  </si>
  <si>
    <t xml:space="preserve">Audit log review</t>
  </si>
  <si>
    <t xml:space="preserve">All required controls active</t>
  </si>
  <si>
    <t xml:space="preserve">3.3</t>
  </si>
  <si>
    <t xml:space="preserve">Community impact screening current (Category 2 and Category 3)</t>
  </si>
  <si>
    <t xml:space="preserve">SCDES AI Operations Manual, Appendix F (Community Impact Screening) review</t>
  </si>
  <si>
    <t xml:space="preserve">Screening valid and within review cycle</t>
  </si>
  <si>
    <t xml:space="preserve">3.4</t>
  </si>
  <si>
    <t xml:space="preserve">Accessibility compliance (WCAG 2.1 AA)</t>
  </si>
  <si>
    <t xml:space="preserve">Accessibility audit</t>
  </si>
  <si>
    <t xml:space="preserve">Compliant per Section 10B</t>
  </si>
  <si>
    <t xml:space="preserve">3.5</t>
  </si>
  <si>
    <t xml:space="preserve">Vendor compliance verified (if applicable)</t>
  </si>
  <si>
    <t xml:space="preserve">SCDES AI Operations Manual, Appendix E (Vendor AI Disclosure) review</t>
  </si>
  <si>
    <t xml:space="preserve">All vendor disclosures current</t>
  </si>
  <si>
    <t xml:space="preserve">3.6</t>
  </si>
  <si>
    <t xml:space="preserve">Incident response readiness</t>
  </si>
  <si>
    <t xml:space="preserve">Tabletop exercise or review</t>
  </si>
  <si>
    <t xml:space="preserve">Escalation paths documented and tested</t>
  </si>
  <si>
    <t xml:space="preserve">DOMAIN 4: STAKEHOLDER IMPACT (Weight: 15%)</t>
  </si>
  <si>
    <t xml:space="preserve">4.1</t>
  </si>
  <si>
    <t xml:space="preserve">User satisfaction (internal operators)</t>
  </si>
  <si>
    <t xml:space="preserve">Survey or interview</t>
  </si>
  <si>
    <t xml:space="preserve">≥4.0 / 5.0 rating</t>
  </si>
  <si>
    <t xml:space="preserve">4.2</t>
  </si>
  <si>
    <t xml:space="preserve">Public satisfaction (if external-facing)</t>
  </si>
  <si>
    <t xml:space="preserve">Survey, complaint tracking</t>
  </si>
  <si>
    <t xml:space="preserve">Complaint rate below baseline</t>
  </si>
  <si>
    <t xml:space="preserve">4.3</t>
  </si>
  <si>
    <t xml:space="preserve">Time savings vs. manual process</t>
  </si>
  <si>
    <t xml:space="preserve">Before/after measurement</t>
  </si>
  <si>
    <t xml:space="preserve">Positive delta documented</t>
  </si>
  <si>
    <t xml:space="preserve">4.4</t>
  </si>
  <si>
    <t xml:space="preserve">Decision quality improvement</t>
  </si>
  <si>
    <t xml:space="preserve">Expert review of sample outputs</t>
  </si>
  <si>
    <t xml:space="preserve">Equal or better than manual baseline</t>
  </si>
  <si>
    <t xml:space="preserve">4.5</t>
  </si>
  <si>
    <t xml:space="preserve">Disparate impact across demographic groups</t>
  </si>
  <si>
    <t xml:space="preserve">Statistical parity analysis</t>
  </si>
  <si>
    <t xml:space="preserve">No statistically significant disparity</t>
  </si>
  <si>
    <t xml:space="preserve">DOMAIN 5: COST-EFFECTIVENESS (Weight: 15%)</t>
  </si>
  <si>
    <t xml:space="preserve">5.1</t>
  </si>
  <si>
    <t xml:space="preserve">Total cost of ownership vs. budget</t>
  </si>
  <si>
    <t xml:space="preserve">Financial tracking</t>
  </si>
  <si>
    <t xml:space="preserve">Within ±10% of approved budget</t>
  </si>
  <si>
    <t xml:space="preserve">5.2</t>
  </si>
  <si>
    <t xml:space="preserve">Cost per transaction/decision vs. manual process</t>
  </si>
  <si>
    <t xml:space="preserve">Cost analysis</t>
  </si>
  <si>
    <t xml:space="preserve">Lower than manual baseline</t>
  </si>
  <si>
    <t xml:space="preserve">5.3</t>
  </si>
  <si>
    <t xml:space="preserve">Return on investment (ROI) trajectory</t>
  </si>
  <si>
    <t xml:space="preserve">Financial modeling</t>
  </si>
  <si>
    <t xml:space="preserve">On track per business case</t>
  </si>
  <si>
    <t xml:space="preserve">5.4</t>
  </si>
  <si>
    <t xml:space="preserve">Maintenance/support cost trend</t>
  </si>
  <si>
    <t xml:space="preserve">Stable or declining</t>
  </si>
  <si>
    <t xml:space="preserve">COMPOSITE EVALUATION SCORE</t>
  </si>
  <si>
    <t xml:space="preserve">Domain 1: Operational Performance (25%)</t>
  </si>
  <si>
    <t xml:space="preserve">Domain 2: Accuracy &amp; Reliability (25%)</t>
  </si>
  <si>
    <t xml:space="preserve">Domain 3: Compliance &amp; Governance (20%)</t>
  </si>
  <si>
    <t xml:space="preserve">Domain 4: Stakeholder Impact (15%)</t>
  </si>
  <si>
    <t xml:space="preserve">Domain 5: Cost-Effectiveness (15%)</t>
  </si>
  <si>
    <t xml:space="preserve">COMPOSITE SCORE (sum of weighted domains)</t>
  </si>
  <si>
    <t xml:space="preserve">DETERMINATION</t>
  </si>
  <si>
    <t xml:space="preserve">SCORING SCALE</t>
  </si>
  <si>
    <t xml:space="preserve">5 — Exceptional</t>
  </si>
  <si>
    <t xml:space="preserve">Significantly exceeds target; recognized as best practice</t>
  </si>
  <si>
    <t xml:space="preserve">4 — Strong</t>
  </si>
  <si>
    <t xml:space="preserve">Meets or exceeds all targets with no material gaps</t>
  </si>
  <si>
    <t xml:space="preserve">3 — Satisfactory</t>
  </si>
  <si>
    <t xml:space="preserve">Meets minimum targets; minor improvement opportunities</t>
  </si>
  <si>
    <t xml:space="preserve">2 — Needs Improvement</t>
  </si>
  <si>
    <t xml:space="preserve">Below target in one or more areas; remediation plan required</t>
  </si>
  <si>
    <t xml:space="preserve">1 — Unsatisfactory</t>
  </si>
  <si>
    <t xml:space="preserve">Fails to meet targets; system suspension or major remediation required</t>
  </si>
  <si>
    <t xml:space="preserve">GATE DECISION THRESHOLDS</t>
  </si>
  <si>
    <t xml:space="preserve">Gate</t>
  </si>
  <si>
    <t xml:space="preserve">Minimum Composite Score</t>
  </si>
  <si>
    <t xml:space="preserve">Minimum Domain Score</t>
  </si>
  <si>
    <t xml:space="preserve">Action if Below Threshold</t>
  </si>
  <si>
    <t xml:space="preserve">Gate 2 (Pilot)</t>
  </si>
  <si>
    <t xml:space="preserve">≥2.5</t>
  </si>
  <si>
    <t xml:space="preserve">≥2.0 in all domains</t>
  </si>
  <si>
    <t xml:space="preserve">Defer pilot until remediation complete</t>
  </si>
  <si>
    <t xml:space="preserve">Gate 3 (Deploy)</t>
  </si>
  <si>
    <t xml:space="preserve">≥3.0</t>
  </si>
  <si>
    <t xml:space="preserve">≥2.5 in all domains</t>
  </si>
  <si>
    <t xml:space="preserve">Return to pilot with conditions</t>
  </si>
  <si>
    <t xml:space="preserve">Gate 5 (Annual)</t>
  </si>
  <si>
    <t xml:space="preserve">Mandatory review per framework §12; Council determines suspension, sunset, remediation, or continuation (framework §4)</t>
  </si>
  <si>
    <t xml:space="preserve">EVALUATION SIGN-OFF</t>
  </si>
  <si>
    <t xml:space="preserve">Lead Evaluator (Name/Title):</t>
  </si>
  <si>
    <t xml:space="preserve">Date:</t>
  </si>
  <si>
    <t xml:space="preserve">AI Governance Council Reviewer:</t>
  </si>
  <si>
    <t xml:space="preserve">AI Governance Council Decision:</t>
  </si>
  <si>
    <t xml:space="preserve">Conditions / Required Actions:</t>
  </si>
  <si>
    <t xml:space="preserve">EVALUATION SCHEDULE BY RISK CLASSIFICATION AND GATE</t>
  </si>
  <si>
    <t xml:space="preserve">Risk Classification</t>
  </si>
  <si>
    <t xml:space="preserve">Gate 4 (Scale)</t>
  </si>
  <si>
    <t xml:space="preserve">Ad Hoc Triggers</t>
  </si>
  <si>
    <t xml:space="preserve">Low</t>
  </si>
  <si>
    <t xml:space="preserve">Abbreviated evaluation (Domains 1-2 only)</t>
  </si>
  <si>
    <t xml:space="preserve">Full evaluation (all domains)</t>
  </si>
  <si>
    <t xml:space="preserve">Delta evaluation (changes only)</t>
  </si>
  <si>
    <t xml:space="preserve">Full evaluation</t>
  </si>
  <si>
    <t xml:space="preserve">Incident triggers full evaluation</t>
  </si>
  <si>
    <t xml:space="preserve">Moderate</t>
  </si>
  <si>
    <t xml:space="preserve">Full evaluation + independent review</t>
  </si>
  <si>
    <t xml:space="preserve">Incident or complaint triggers full evaluation</t>
  </si>
  <si>
    <t xml:space="preserve">High</t>
  </si>
  <si>
    <t xml:space="preserve">Full evaluation + independent review [selector and internal/external nature reserved to the Council]</t>
  </si>
  <si>
    <t xml:space="preserve">Full evaluation + independent review [selector and internal/external nature reserved to the Council] + AI Governance Council consensus</t>
  </si>
  <si>
    <t xml:space="preserve">Any incident triggers immediate evaluation</t>
  </si>
  <si>
    <t xml:space="preserve">INSTRUCTIONS FOR USE</t>
  </si>
  <si>
    <t xml:space="preserve">Purpose</t>
  </si>
  <si>
    <t xml:space="preserve">This tool provides a standardized, quantitative methodology for evaluating AI system performance at every stage of the lifecycle. It ensures consistent, comparable evaluation across all SCDES AI systems regardless of type or domain.</t>
  </si>
  <si>
    <t xml:space="preserve">When to Use</t>
  </si>
  <si>
    <t xml:space="preserve">Complete this evaluation at every gate review (Gates 2 through 5), during annual reviews under Gate 5, and when triggered by an incident under Section 11 (incident response procedure per SCDES AI Operations Manual §22). For Gate 0 and Gate 1, the system is pre-deployment — use SCDES AI Operations Manual, Appendix B (Risk Classification Matrix) and Appendix D (Data Readiness Assessment) instead.</t>
  </si>
  <si>
    <t xml:space="preserve">How to Score</t>
  </si>
  <si>
    <t xml:space="preserve">Each criterion is scored 1–5 using the scoring scale on the Evaluation Scoring Tool sheet. Scores must be supported by evidence documented in the Notes column. Evaluators must apply independent review for systems classified Moderate Risk or higher; independent review, in addition to Council review, is required for High Risk systems per Section 7 [independent-review selector and internal/external nature reserved to the Council].</t>
  </si>
  <si>
    <t xml:space="preserve">Composite Score</t>
  </si>
  <si>
    <t xml:space="preserve">Domain scores are weighted and summed to produce a composite score (maximum 5.0). The gate decision thresholds define minimum acceptable scores. Any individual domain score below threshold requires a remediation plan approved by the AI Governance Council before the system advances. The composite score is one component of the Gate decision; evaluators must also confirm that the Stopping Rules for evaluation sufficiency (see Stopping Rules sheet) have been satisfied before recommending Gate 2 or Gate 3 advancement.</t>
  </si>
  <si>
    <t xml:space="preserve">Adaptation for Different System Types</t>
  </si>
  <si>
    <t xml:space="preserve">Not all criteria apply equally to all AI systems. For example, a document classification system may not have meaningful "false negative" rates. Evaluators should mark N/A for non-applicable criteria and note the rationale. N/A scores are excluded from domain averages.</t>
  </si>
  <si>
    <t xml:space="preserve">Frequency</t>
  </si>
  <si>
    <t xml:space="preserve">See the Evaluation Schedule sheet for required evaluation frequency by risk classification and gate.</t>
  </si>
  <si>
    <t xml:space="preserve">Records</t>
  </si>
  <si>
    <t xml:space="preserve">Completed evaluations are AI system documentation and decision records retained per the state records retention schedule (Sections 9A and 12) and are subject to AI Governance Council oversight under Section 6.1. Store completed forms with the AI System Model Card (SCDES AI Operations Manual, Appendix K) in the AI System Registry (SCDES AI Operations Manual, Appendix C).</t>
  </si>
  <si>
    <t xml:space="preserve">Adaptation Guidance</t>
  </si>
  <si>
    <t xml:space="preserve">The five evaluation domains and their weighting are calibrated to a state environmental agency operating delegated federal programs. Bureaus may propose domain re-weighting where operational context warrants, subject to AI Governance Council approval. Targets and thresholds within each criterion shall be set at Gate 2 (Pilot Authorization) and may not be modified after Gate 2 approval without Council documentation per SCDES AI Operations Manual §15 (Stage-Gate Approval Procedure).</t>
  </si>
  <si>
    <t xml:space="preserve">Stopping Rules</t>
  </si>
  <si>
    <t xml:space="preserve">Before recommending advancement at Gate 2 (Pilot Authorization) or Gate 3 (Operational Deployment Approval), the lead evaluator shall complete the Stopping Rules sheet to confirm that pre-deployment evaluation evidence is sufficient under the dual-lane methodology (rate claim and tail claim) adapted from Heimann (2026). A system that satisfies substantive evaluation criteria but fails the Stopping Rules has not produced sufficient evidence to support release; a system that satisfies the Stopping Rules but fails substantive criteria does not pass Gate review. Both must be satisfied.</t>
  </si>
  <si>
    <t xml:space="preserve">Authorities</t>
  </si>
  <si>
    <t xml:space="preserve">Section 7 (Risk Management Policy), Section 4 (Measurable Value), and Section 10A of the SCDES Enterprise Artificial Intelligence Governance Framework; Stage-Gate Approval per SCDES AI Operations Manual §15; Pilot Methodology per §17; Performance Evaluation per §19; NIST AI Risk Management Framework (AI RMF 1.0) and Generative AI Profile; Heimann, R., Stopping Rules for AI Deployment Evaluation: A Dual-Lane Rate-Bounded and Saturation-Aware Method (S.C. Dep’t of Admin., Apr. 10, 2026); Full citations in SCDES AI Operations Manual, Appendix M (Table of Authorities).</t>
  </si>
  <si>
    <t xml:space="preserve">STOPPING RULES FOR EVALUATION SUFFICIENCY</t>
  </si>
  <si>
    <t xml:space="preserve">SCDES Enterprise Artificial Intelligence Governance Framework, adopted __________, 2026  |  Pre-deployment evaluation stopping methodology</t>
  </si>
  <si>
    <t xml:space="preserve">Framework Reference: Stage-Gate Approval per SCDES AI Operations Manual §15 (Council phase approvals under Section 6.1); Pilot Methodology per SCDES AI Operations Manual §17; Section 4 (Measurable Value) and Section 10A, evaluation procedure per SCDES AI Operations Manual §19  |  Related: SCDES AI Operations Manual Appendix H (Gate Review Checklists), Appendix M (Table of Authorities)</t>
  </si>
  <si>
    <t xml:space="preserve">PURPOSE AND APPLICATION</t>
  </si>
  <si>
    <t xml:space="preserve">This sheet implements a dual-lane stopping-rule methodology for determining whether pre-deployment evaluation evidence is sufficient to support advancement at Gate 2 (Pilot Authorization) or Gate 3 (Operational Deployment Approval). The methodology is adapted from Heimann, R., Stopping Rules for AI Deployment Evaluation: A Dual-Lane Rate-Bounded and Saturation-Aware Method (S.C. Dep't of Admin., Apr. 10, 2026), and is consistent with NIST AI RMF 1.0 and the NIST Generative AI Profile. The Stopping Rules supplement, and do not replace, the substantive evaluation criteria of the Evaluation Scoring Tool. A system that satisfies the Stopping Rules but fails substantive criteria does not pass Gate review. A system that satisfies substantive criteria but fails the Stopping Rules has not produced sufficient evidence to support release. Both must be satisfied.</t>
  </si>
  <si>
    <t xml:space="preserve">SYSTEM INFORMATION</t>
  </si>
  <si>
    <t xml:space="preserve">Gate Decision Sought:</t>
  </si>
  <si>
    <t xml:space="preserve">Gate 2 (Pilot Authorization)  ☐    Gate 3 (Operational Deployment)  ☐</t>
  </si>
  <si>
    <t xml:space="preserve">Severe-Failure Threshold (α):</t>
  </si>
  <si>
    <t xml:space="preserve">Confidence (1 − β):</t>
  </si>
  <si>
    <t xml:space="preserve">Lead Evaluator:</t>
  </si>
  <si>
    <t xml:space="preserve">Evaluation Period:</t>
  </si>
  <si>
    <t xml:space="preserve">LANE A — RATE CLAIM (Severe-Failure Probability Bound)</t>
  </si>
  <si>
    <t xml:space="preserve">Lane A tests representative inputs within each deployment-critical slice and bounds the severe-failure probability above by a stated threshold α with confidence 1−β. A ’severe failure’ is any output that would (a) cause a regulatory determination to be wrong, (b) deny a service to which a person is entitled, (c) misclassify enforcement priority, (d) breach a data-handling requirement, or (e) produce content unsuitable for public reliance. Severe-failure definitions specific to the system shall be set at Gate 2 and recorded in the Model Card (SCDES AI Operations Manual, Appendix K). Bounds are computed as one-sided exact (Clopper–Pearson) upper confidence limits.</t>
  </si>
  <si>
    <t xml:space="preserve">QUICK REFERENCE — One-sided upper 95% confidence bounds for a target rate of α = 1%:  0 failures observed in n tests: n ≥ 300 (bound ≈ 3 / n).   1 failure in n tests: n ≥ 475 (bound ≈ 4.74 / n).   2 failures in n tests: n ≥ 630 (bound ≈ 6.30 / n).</t>
  </si>
  <si>
    <t xml:space="preserve">Deployment-Critical Slice</t>
  </si>
  <si>
    <t xml:space="preserve">n Tested</t>
  </si>
  <si>
    <t xml:space="preserve">Failures</t>
  </si>
  <si>
    <t xml:space="preserve">Failure Rate (point est.)</t>
  </si>
  <si>
    <t xml:space="preserve">Upper Bound (95%)</t>
  </si>
  <si>
    <t xml:space="preserve">α Threshold</t>
  </si>
  <si>
    <t xml:space="preserve">Pass / Fail</t>
  </si>
  <si>
    <t xml:space="preserve">Notes / Evidence</t>
  </si>
  <si>
    <t xml:space="preserve">LANE A RESULT — Lane A is satisfied only when the upper bound is at or below α for every deployment-critical slice. If any slice fails, additional testing within that slice is required; the system may not advance.</t>
  </si>
  <si>
    <t xml:space="preserve">Lane A determination:</t>
  </si>
  <si>
    <t xml:space="preserve">LANE B — TAIL CLAIM (Saturation of Novel Severe Error Mechanisms)</t>
  </si>
  <si>
    <t xml:space="preserve">Lane B conducts targeted or adversarial testing aimed at surfacing novel severe failure mechanisms. After each test batch, the evaluator records the count of new failure mechanisms discovered, the count of failure mechanisms observed only once across all testing (singletons), and a rolling estimate of missing mass (the share of failure-mode probability not yet observed). The Good–Turing missing-mass estimate is calculated as: M ≈ S₁ / N, where S₁ is the number of singleton mechanisms and N is the total number of severe failures observed.</t>
  </si>
  <si>
    <t xml:space="preserve">Batch #</t>
  </si>
  <si>
    <t xml:space="preserve">Batch Size</t>
  </si>
  <si>
    <t xml:space="preserve">New Mechanisms</t>
  </si>
  <si>
    <t xml:space="preserve">Cumulative Distinct</t>
  </si>
  <si>
    <t xml:space="preserve">Singletons (S₁)</t>
  </si>
  <si>
    <t xml:space="preserve">Rolling Novelty Rate</t>
  </si>
  <si>
    <t xml:space="preserve">Missing-Mass Est. (M)</t>
  </si>
  <si>
    <t xml:space="preserve">LANE B RESULT — Lane B is satisfied only when (a) the rolling novelty rate has remained flat or declining over at least three consecutive batches and (b) the Good–Turing missing-mass estimate is at or below 5%, or such other threshold approved by the AI Governance Council at Gate 2. If either condition fails, targeted testing shall continue.</t>
  </si>
  <si>
    <t xml:space="preserve">Lane B determination:</t>
  </si>
  <si>
    <t xml:space="preserve">STOPPING DECISION</t>
  </si>
  <si>
    <t xml:space="preserve">Testing may stop, and the system may be recommended for advancement at the applicable Gate, only when BOTH Lane A and Lane B are satisfied. If either lane fails, additional testing of the type indicated shall be conducted. The evaluator shall not adjust α, β, the missing-mass threshold, or the slice definitions after Gate 2 approval without AI Governance Council documentation per SCDES AI Operations Manual §15 (Stage-Gate Approval Procedure). A stopping decision is part of the administrative record for the Gate review and shall be retained with the AI System Model Card (SCDES AI Operations Manual, Appendix K).</t>
  </si>
  <si>
    <t xml:space="preserve">Lane A PASS / FAIL:</t>
  </si>
  <si>
    <t xml:space="preserve">Lane B PASS / FAIL:</t>
  </si>
  <si>
    <t xml:space="preserve">Overall Stopping Decision:</t>
  </si>
  <si>
    <t xml:space="preserve">Recommended Gate Action:</t>
  </si>
  <si>
    <t xml:space="preserve">If FAIL, required additional testing:</t>
  </si>
  <si>
    <t xml:space="preserve">SIGN-OFF</t>
  </si>
  <si>
    <t xml:space="preserve">Lead Evaluator (Name / Title):</t>
  </si>
  <si>
    <t xml:space="preserve">Independent Reviewer (Moderate/High Risk):</t>
  </si>
  <si>
    <t xml:space="preserve">Council Decision Date:</t>
  </si>
  <si>
    <t xml:space="preserve">Conditions Imposed:</t>
  </si>
  <si>
    <t xml:space="preserve">AUTHORITIES: Heimann, R., Stopping Rules for AI Deployment Evaluation: A Dual-Lane Rate-Bounded and Saturation-Aware Method (S.C. Dep’t of Admin., Apr. 10, 2026); National Institute of Standards and Technology, AI Risk Management Framework (AI RMF 1.0); National Institute of Standards and Technology, Generative AI Profile; Clopper, C.J. &amp; Pearson, E.S., The use of confidence or fiducial limits illustrated in the case of the binomial, Biometrika (1934); Good, I.J., The Population Frequencies of Species and the Estimation of Population Parameters, Biometrika (1953). Full citations in SCDES AI Operations Manual, Appendix M.</t>
  </si>
</sst>
</file>

<file path=xl/styles.xml><?xml version="1.0" encoding="utf-8"?>
<styleSheet xmlns="http://schemas.openxmlformats.org/spreadsheetml/2006/main">
  <numFmts count="2">
    <numFmt numFmtId="164" formatCode="General"/>
    <numFmt numFmtId="165" formatCode="0.00"/>
  </numFmts>
  <fonts count="22">
    <font>
      <sz val="11"/>
      <color theme="1"/>
      <name val="Calibri"/>
      <family val="2"/>
      <charset val="1"/>
    </font>
    <font>
      <sz val="10"/>
      <name val="Arial"/>
      <family val="0"/>
    </font>
    <font>
      <sz val="10"/>
      <name val="Arial"/>
      <family val="0"/>
    </font>
    <font>
      <sz val="10"/>
      <name val="Arial"/>
      <family val="0"/>
    </font>
    <font>
      <b val="true"/>
      <sz val="14"/>
      <color rgb="FF1F4E79"/>
      <name val="Arial"/>
      <family val="2"/>
      <charset val="1"/>
    </font>
    <font>
      <sz val="10"/>
      <color rgb="FF333333"/>
      <name val="Arial"/>
      <family val="2"/>
      <charset val="1"/>
    </font>
    <font>
      <sz val="9"/>
      <color rgb="FF666666"/>
      <name val="Arial"/>
      <family val="2"/>
      <charset val="1"/>
    </font>
    <font>
      <b val="true"/>
      <sz val="11"/>
      <color rgb="FF1F4E79"/>
      <name val="Arial"/>
      <family val="2"/>
      <charset val="1"/>
    </font>
    <font>
      <b val="true"/>
      <sz val="10"/>
      <name val="Arial"/>
      <family val="2"/>
      <charset val="1"/>
    </font>
    <font>
      <b val="true"/>
      <sz val="10"/>
      <color rgb="FFFFFFFF"/>
      <name val="Arial"/>
      <family val="2"/>
      <charset val="1"/>
    </font>
    <font>
      <sz val="10"/>
      <name val="Arial"/>
      <family val="2"/>
      <charset val="1"/>
    </font>
    <font>
      <b val="true"/>
      <sz val="11"/>
      <name val="Arial"/>
      <family val="2"/>
      <charset val="1"/>
    </font>
    <font>
      <sz val="10"/>
      <name val="Arial"/>
      <family val="2"/>
    </font>
    <font>
      <b val="true"/>
      <sz val="10"/>
      <color rgb="FF1F3864"/>
      <name val="Arial"/>
      <family val="0"/>
      <charset val="1"/>
    </font>
    <font>
      <sz val="10"/>
      <name val="Arial"/>
      <family val="0"/>
      <charset val="1"/>
    </font>
    <font>
      <b val="true"/>
      <sz val="14"/>
      <color rgb="FF1F3864"/>
      <name val="Arial"/>
      <family val="0"/>
      <charset val="1"/>
    </font>
    <font>
      <sz val="10"/>
      <color rgb="FF666666"/>
      <name val="Arial"/>
      <family val="0"/>
      <charset val="1"/>
    </font>
    <font>
      <i val="true"/>
      <sz val="9"/>
      <color rgb="FF444444"/>
      <name val="Arial"/>
      <family val="0"/>
      <charset val="1"/>
    </font>
    <font>
      <b val="true"/>
      <sz val="11"/>
      <color rgb="FFFFFFFF"/>
      <name val="Arial"/>
      <family val="0"/>
      <charset val="1"/>
    </font>
    <font>
      <i val="true"/>
      <sz val="9"/>
      <name val="Arial"/>
      <family val="0"/>
      <charset val="1"/>
    </font>
    <font>
      <b val="true"/>
      <sz val="10"/>
      <color rgb="FFFFFFFF"/>
      <name val="Arial"/>
      <family val="0"/>
      <charset val="1"/>
    </font>
    <font>
      <b val="true"/>
      <sz val="10"/>
      <name val="Arial"/>
      <family val="0"/>
      <charset val="1"/>
    </font>
  </fonts>
  <fills count="5">
    <fill>
      <patternFill patternType="none"/>
    </fill>
    <fill>
      <patternFill patternType="gray125"/>
    </fill>
    <fill>
      <patternFill patternType="solid">
        <fgColor rgb="FFD6E4F0"/>
        <bgColor rgb="FFCCFFFF"/>
      </patternFill>
    </fill>
    <fill>
      <patternFill patternType="solid">
        <fgColor rgb="FF1F4E79"/>
        <bgColor rgb="FF1F3864"/>
      </patternFill>
    </fill>
    <fill>
      <patternFill patternType="solid">
        <fgColor rgb="FF1F3864"/>
        <bgColor rgb="FF1F4E7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4" fontId="18" fillId="4" borderId="0" xfId="0" applyFont="true" applyBorder="true" applyAlignment="true" applyProtection="false">
      <alignment horizontal="left" vertical="center" textRotation="0" wrapText="false" indent="1"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top" textRotation="0" wrapText="true" indent="0" shrinkToFit="false"/>
      <protection locked="true" hidden="false"/>
    </xf>
    <xf numFmtId="164" fontId="20" fillId="4"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21" fillId="2"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444444"/>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24" activePane="bottomLeft" state="frozen"/>
      <selection pane="topLeft" activeCell="A1" activeCellId="0" sqref="A1"/>
      <selection pane="bottomLeft" activeCell="A14" activeCellId="0" sqref="A14"/>
    </sheetView>
  </sheetViews>
  <sheetFormatPr defaultColWidth="8.66796875" defaultRowHeight="15" zeroHeight="false" outlineLevelRow="0" outlineLevelCol="0"/>
  <cols>
    <col collapsed="false" customWidth="true" hidden="false" outlineLevel="0" max="1" min="1" style="0" width="27.5"/>
    <col collapsed="false" customWidth="true" hidden="false" outlineLevel="0" max="2" min="2" style="0" width="42"/>
    <col collapsed="false" customWidth="true" hidden="false" outlineLevel="0" max="3" min="3" style="0" width="25"/>
    <col collapsed="false" customWidth="true" hidden="false" outlineLevel="0" max="4" min="4" style="0" width="28"/>
    <col collapsed="false" customWidth="true" hidden="false" outlineLevel="0" max="5" min="5" style="0" width="18"/>
    <col collapsed="false" customWidth="true" hidden="false" outlineLevel="0" max="6" min="6" style="0" width="14"/>
    <col collapsed="false" customWidth="true" hidden="false" outlineLevel="0" max="7" min="7" style="0" width="30"/>
  </cols>
  <sheetData>
    <row r="1" customFormat="false" ht="18"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15" hidden="false" customHeight="false" outlineLevel="0" collapsed="false">
      <c r="A5" s="4" t="s">
        <v>3</v>
      </c>
      <c r="B5" s="4"/>
      <c r="C5" s="4"/>
      <c r="D5" s="4"/>
      <c r="E5" s="4"/>
      <c r="F5" s="4"/>
      <c r="G5" s="4"/>
    </row>
    <row r="6" customFormat="false" ht="15" hidden="false" customHeight="false" outlineLevel="0" collapsed="false">
      <c r="A6" s="5" t="s">
        <v>4</v>
      </c>
      <c r="B6" s="6"/>
      <c r="C6" s="6"/>
      <c r="D6" s="6"/>
      <c r="E6" s="6"/>
      <c r="F6" s="6"/>
      <c r="G6" s="6"/>
    </row>
    <row r="7" customFormat="false" ht="15" hidden="false" customHeight="false" outlineLevel="0" collapsed="false">
      <c r="A7" s="5" t="s">
        <v>5</v>
      </c>
      <c r="B7" s="6"/>
      <c r="C7" s="6"/>
      <c r="D7" s="6"/>
      <c r="E7" s="6"/>
      <c r="F7" s="6"/>
      <c r="G7" s="6"/>
    </row>
    <row r="8" customFormat="false" ht="15" hidden="false" customHeight="false" outlineLevel="0" collapsed="false">
      <c r="A8" s="5" t="s">
        <v>6</v>
      </c>
      <c r="B8" s="6"/>
      <c r="C8" s="6"/>
      <c r="D8" s="6"/>
      <c r="E8" s="6"/>
      <c r="F8" s="6"/>
      <c r="G8" s="6"/>
    </row>
    <row r="9" customFormat="false" ht="15" hidden="false" customHeight="false" outlineLevel="0" collapsed="false">
      <c r="A9" s="5" t="s">
        <v>7</v>
      </c>
      <c r="B9" s="6"/>
      <c r="C9" s="6"/>
      <c r="D9" s="6"/>
      <c r="E9" s="6"/>
      <c r="F9" s="6"/>
      <c r="G9" s="6"/>
    </row>
    <row r="10" customFormat="false" ht="15" hidden="false" customHeight="false" outlineLevel="0" collapsed="false">
      <c r="A10" s="5" t="s">
        <v>8</v>
      </c>
      <c r="B10" s="6"/>
      <c r="C10" s="6"/>
      <c r="D10" s="6"/>
      <c r="E10" s="6"/>
      <c r="F10" s="6"/>
      <c r="G10" s="6"/>
    </row>
    <row r="11" customFormat="false" ht="15" hidden="false" customHeight="false" outlineLevel="0" collapsed="false">
      <c r="A11" s="5" t="s">
        <v>9</v>
      </c>
      <c r="B11" s="6"/>
      <c r="C11" s="6"/>
      <c r="D11" s="6"/>
      <c r="E11" s="6"/>
      <c r="F11" s="6"/>
      <c r="G11" s="6"/>
    </row>
    <row r="13" customFormat="false" ht="15" hidden="false" customHeight="false" outlineLevel="0" collapsed="false">
      <c r="A13" s="4" t="s">
        <v>10</v>
      </c>
      <c r="B13" s="4"/>
      <c r="C13" s="4"/>
      <c r="D13" s="4"/>
      <c r="E13" s="4"/>
      <c r="F13" s="4"/>
      <c r="G13" s="4"/>
    </row>
    <row r="14" customFormat="false" ht="15" hidden="false" customHeight="false" outlineLevel="0" collapsed="false">
      <c r="A14" s="7" t="s">
        <v>11</v>
      </c>
      <c r="B14" s="7" t="s">
        <v>12</v>
      </c>
      <c r="C14" s="7" t="s">
        <v>13</v>
      </c>
      <c r="D14" s="7" t="s">
        <v>14</v>
      </c>
      <c r="E14" s="7" t="s">
        <v>15</v>
      </c>
      <c r="F14" s="7" t="s">
        <v>16</v>
      </c>
      <c r="G14" s="7" t="s">
        <v>17</v>
      </c>
    </row>
    <row r="15" customFormat="false" ht="15" hidden="false" customHeight="false" outlineLevel="0" collapsed="false">
      <c r="A15" s="8" t="s">
        <v>18</v>
      </c>
      <c r="B15" s="9" t="s">
        <v>19</v>
      </c>
      <c r="C15" s="9" t="s">
        <v>20</v>
      </c>
      <c r="D15" s="9" t="s">
        <v>21</v>
      </c>
      <c r="E15" s="9"/>
      <c r="F15" s="9"/>
      <c r="G15" s="9"/>
    </row>
    <row r="16" customFormat="false" ht="15" hidden="false" customHeight="false" outlineLevel="0" collapsed="false">
      <c r="A16" s="8" t="s">
        <v>22</v>
      </c>
      <c r="B16" s="9" t="s">
        <v>23</v>
      </c>
      <c r="C16" s="9" t="s">
        <v>24</v>
      </c>
      <c r="D16" s="9" t="s">
        <v>25</v>
      </c>
      <c r="E16" s="9"/>
      <c r="F16" s="9"/>
      <c r="G16" s="9"/>
    </row>
    <row r="17" customFormat="false" ht="15" hidden="false" customHeight="false" outlineLevel="0" collapsed="false">
      <c r="A17" s="8" t="s">
        <v>26</v>
      </c>
      <c r="B17" s="9" t="s">
        <v>27</v>
      </c>
      <c r="C17" s="9" t="s">
        <v>28</v>
      </c>
      <c r="D17" s="9" t="s">
        <v>29</v>
      </c>
      <c r="E17" s="9"/>
      <c r="F17" s="9"/>
      <c r="G17" s="9"/>
    </row>
    <row r="18" customFormat="false" ht="15" hidden="false" customHeight="false" outlineLevel="0" collapsed="false">
      <c r="A18" s="8" t="s">
        <v>30</v>
      </c>
      <c r="B18" s="9" t="s">
        <v>31</v>
      </c>
      <c r="C18" s="9" t="s">
        <v>32</v>
      </c>
      <c r="D18" s="9" t="s">
        <v>33</v>
      </c>
      <c r="E18" s="9"/>
      <c r="F18" s="9"/>
      <c r="G18" s="9"/>
    </row>
    <row r="19" customFormat="false" ht="15" hidden="false" customHeight="false" outlineLevel="0" collapsed="false">
      <c r="A19" s="8" t="s">
        <v>34</v>
      </c>
      <c r="B19" s="9" t="s">
        <v>35</v>
      </c>
      <c r="C19" s="9" t="s">
        <v>36</v>
      </c>
      <c r="D19" s="9" t="s">
        <v>37</v>
      </c>
      <c r="E19" s="9"/>
      <c r="F19" s="9"/>
      <c r="G19" s="9"/>
    </row>
    <row r="21" customFormat="false" ht="15" hidden="false" customHeight="false" outlineLevel="0" collapsed="false">
      <c r="A21" s="4" t="s">
        <v>38</v>
      </c>
      <c r="B21" s="4"/>
      <c r="C21" s="4"/>
      <c r="D21" s="4"/>
      <c r="E21" s="4"/>
      <c r="F21" s="4"/>
      <c r="G21" s="4"/>
    </row>
    <row r="22" customFormat="false" ht="15" hidden="false" customHeight="false" outlineLevel="0" collapsed="false">
      <c r="A22" s="7" t="s">
        <v>11</v>
      </c>
      <c r="B22" s="7" t="s">
        <v>12</v>
      </c>
      <c r="C22" s="7" t="s">
        <v>13</v>
      </c>
      <c r="D22" s="7" t="s">
        <v>14</v>
      </c>
      <c r="E22" s="7" t="s">
        <v>15</v>
      </c>
      <c r="F22" s="7" t="s">
        <v>16</v>
      </c>
      <c r="G22" s="7" t="s">
        <v>17</v>
      </c>
    </row>
    <row r="23" customFormat="false" ht="27.75" hidden="false" customHeight="true" outlineLevel="0" collapsed="false">
      <c r="A23" s="8" t="s">
        <v>39</v>
      </c>
      <c r="B23" s="9" t="s">
        <v>40</v>
      </c>
      <c r="C23" s="9" t="s">
        <v>41</v>
      </c>
      <c r="D23" s="9" t="s">
        <v>42</v>
      </c>
      <c r="E23" s="9"/>
      <c r="F23" s="9"/>
      <c r="G23" s="9"/>
    </row>
    <row r="24" customFormat="false" ht="15" hidden="false" customHeight="false" outlineLevel="0" collapsed="false">
      <c r="A24" s="8" t="s">
        <v>43</v>
      </c>
      <c r="B24" s="9" t="s">
        <v>44</v>
      </c>
      <c r="C24" s="9" t="s">
        <v>45</v>
      </c>
      <c r="D24" s="9" t="s">
        <v>46</v>
      </c>
      <c r="E24" s="9"/>
      <c r="F24" s="9"/>
      <c r="G24" s="9"/>
    </row>
    <row r="25" customFormat="false" ht="15" hidden="false" customHeight="false" outlineLevel="0" collapsed="false">
      <c r="A25" s="8" t="s">
        <v>47</v>
      </c>
      <c r="B25" s="9" t="s">
        <v>48</v>
      </c>
      <c r="C25" s="9" t="s">
        <v>45</v>
      </c>
      <c r="D25" s="9" t="s">
        <v>46</v>
      </c>
      <c r="E25" s="9"/>
      <c r="F25" s="9"/>
      <c r="G25" s="9"/>
    </row>
    <row r="26" customFormat="false" ht="15" hidden="false" customHeight="false" outlineLevel="0" collapsed="false">
      <c r="A26" s="8" t="s">
        <v>49</v>
      </c>
      <c r="B26" s="9" t="s">
        <v>50</v>
      </c>
      <c r="C26" s="9" t="s">
        <v>51</v>
      </c>
      <c r="D26" s="9" t="s">
        <v>52</v>
      </c>
      <c r="E26" s="9"/>
      <c r="F26" s="9"/>
      <c r="G26" s="9"/>
    </row>
    <row r="27" customFormat="false" ht="27.75" hidden="false" customHeight="true" outlineLevel="0" collapsed="false">
      <c r="A27" s="8" t="s">
        <v>53</v>
      </c>
      <c r="B27" s="9" t="s">
        <v>54</v>
      </c>
      <c r="C27" s="9" t="s">
        <v>55</v>
      </c>
      <c r="D27" s="9" t="s">
        <v>56</v>
      </c>
      <c r="E27" s="9"/>
      <c r="F27" s="9"/>
      <c r="G27" s="9"/>
    </row>
    <row r="29" customFormat="false" ht="15" hidden="false" customHeight="false" outlineLevel="0" collapsed="false">
      <c r="A29" s="4" t="s">
        <v>57</v>
      </c>
      <c r="B29" s="4"/>
      <c r="C29" s="4"/>
      <c r="D29" s="4"/>
      <c r="E29" s="4"/>
      <c r="F29" s="4"/>
      <c r="G29" s="4"/>
    </row>
    <row r="30" customFormat="false" ht="15" hidden="false" customHeight="false" outlineLevel="0" collapsed="false">
      <c r="A30" s="7" t="s">
        <v>11</v>
      </c>
      <c r="B30" s="7" t="s">
        <v>12</v>
      </c>
      <c r="C30" s="7" t="s">
        <v>13</v>
      </c>
      <c r="D30" s="7" t="s">
        <v>14</v>
      </c>
      <c r="E30" s="7" t="s">
        <v>15</v>
      </c>
      <c r="F30" s="7" t="s">
        <v>16</v>
      </c>
      <c r="G30" s="7" t="s">
        <v>17</v>
      </c>
    </row>
    <row r="31" customFormat="false" ht="35.05" hidden="false" customHeight="false" outlineLevel="0" collapsed="false">
      <c r="A31" s="8" t="s">
        <v>58</v>
      </c>
      <c r="B31" s="9" t="s">
        <v>59</v>
      </c>
      <c r="C31" s="9" t="s">
        <v>60</v>
      </c>
      <c r="D31" s="9" t="s">
        <v>61</v>
      </c>
      <c r="E31" s="9"/>
      <c r="F31" s="9"/>
      <c r="G31" s="9"/>
    </row>
    <row r="32" customFormat="false" ht="15" hidden="false" customHeight="false" outlineLevel="0" collapsed="false">
      <c r="A32" s="8" t="s">
        <v>62</v>
      </c>
      <c r="B32" s="9" t="s">
        <v>63</v>
      </c>
      <c r="C32" s="9" t="s">
        <v>64</v>
      </c>
      <c r="D32" s="9" t="s">
        <v>65</v>
      </c>
      <c r="E32" s="9"/>
      <c r="F32" s="9"/>
      <c r="G32" s="9"/>
    </row>
    <row r="33" customFormat="false" ht="27.75" hidden="false" customHeight="true" outlineLevel="0" collapsed="false">
      <c r="A33" s="8" t="s">
        <v>66</v>
      </c>
      <c r="B33" s="9" t="s">
        <v>67</v>
      </c>
      <c r="C33" s="9" t="s">
        <v>68</v>
      </c>
      <c r="D33" s="9" t="s">
        <v>69</v>
      </c>
      <c r="E33" s="9"/>
      <c r="F33" s="9"/>
      <c r="G33" s="9"/>
    </row>
    <row r="34" customFormat="false" ht="15" hidden="false" customHeight="false" outlineLevel="0" collapsed="false">
      <c r="A34" s="8" t="s">
        <v>70</v>
      </c>
      <c r="B34" s="9" t="s">
        <v>71</v>
      </c>
      <c r="C34" s="9" t="s">
        <v>72</v>
      </c>
      <c r="D34" s="9" t="s">
        <v>73</v>
      </c>
      <c r="E34" s="9"/>
      <c r="F34" s="9"/>
      <c r="G34" s="9"/>
    </row>
    <row r="35" customFormat="false" ht="35.05" hidden="false" customHeight="false" outlineLevel="0" collapsed="false">
      <c r="A35" s="8" t="s">
        <v>74</v>
      </c>
      <c r="B35" s="9" t="s">
        <v>75</v>
      </c>
      <c r="C35" s="9" t="s">
        <v>76</v>
      </c>
      <c r="D35" s="9" t="s">
        <v>77</v>
      </c>
      <c r="E35" s="9"/>
      <c r="F35" s="9"/>
      <c r="G35" s="9"/>
    </row>
    <row r="36" customFormat="false" ht="27.75" hidden="false" customHeight="true" outlineLevel="0" collapsed="false">
      <c r="A36" s="8" t="s">
        <v>78</v>
      </c>
      <c r="B36" s="9" t="s">
        <v>79</v>
      </c>
      <c r="C36" s="9" t="s">
        <v>80</v>
      </c>
      <c r="D36" s="9" t="s">
        <v>81</v>
      </c>
      <c r="E36" s="9"/>
      <c r="F36" s="9"/>
      <c r="G36" s="9"/>
    </row>
    <row r="38" customFormat="false" ht="15" hidden="false" customHeight="false" outlineLevel="0" collapsed="false">
      <c r="A38" s="4" t="s">
        <v>82</v>
      </c>
      <c r="B38" s="4"/>
      <c r="C38" s="4"/>
      <c r="D38" s="4"/>
      <c r="E38" s="4"/>
      <c r="F38" s="4"/>
      <c r="G38" s="4"/>
    </row>
    <row r="39" customFormat="false" ht="15" hidden="false" customHeight="false" outlineLevel="0" collapsed="false">
      <c r="A39" s="7" t="s">
        <v>11</v>
      </c>
      <c r="B39" s="7" t="s">
        <v>12</v>
      </c>
      <c r="C39" s="7" t="s">
        <v>13</v>
      </c>
      <c r="D39" s="7" t="s">
        <v>14</v>
      </c>
      <c r="E39" s="7" t="s">
        <v>15</v>
      </c>
      <c r="F39" s="7" t="s">
        <v>16</v>
      </c>
      <c r="G39" s="7" t="s">
        <v>17</v>
      </c>
    </row>
    <row r="40" customFormat="false" ht="15" hidden="false" customHeight="false" outlineLevel="0" collapsed="false">
      <c r="A40" s="8" t="s">
        <v>83</v>
      </c>
      <c r="B40" s="9" t="s">
        <v>84</v>
      </c>
      <c r="C40" s="9" t="s">
        <v>85</v>
      </c>
      <c r="D40" s="9" t="s">
        <v>86</v>
      </c>
      <c r="E40" s="9"/>
      <c r="F40" s="9"/>
      <c r="G40" s="9"/>
    </row>
    <row r="41" customFormat="false" ht="15" hidden="false" customHeight="false" outlineLevel="0" collapsed="false">
      <c r="A41" s="8" t="s">
        <v>87</v>
      </c>
      <c r="B41" s="9" t="s">
        <v>88</v>
      </c>
      <c r="C41" s="9" t="s">
        <v>89</v>
      </c>
      <c r="D41" s="9" t="s">
        <v>90</v>
      </c>
      <c r="E41" s="9"/>
      <c r="F41" s="9"/>
      <c r="G41" s="9"/>
    </row>
    <row r="42" customFormat="false" ht="15" hidden="false" customHeight="false" outlineLevel="0" collapsed="false">
      <c r="A42" s="8" t="s">
        <v>91</v>
      </c>
      <c r="B42" s="9" t="s">
        <v>92</v>
      </c>
      <c r="C42" s="9" t="s">
        <v>93</v>
      </c>
      <c r="D42" s="9" t="s">
        <v>94</v>
      </c>
      <c r="E42" s="9"/>
      <c r="F42" s="9"/>
      <c r="G42" s="9"/>
    </row>
    <row r="43" customFormat="false" ht="27.75" hidden="false" customHeight="true" outlineLevel="0" collapsed="false">
      <c r="A43" s="8" t="s">
        <v>95</v>
      </c>
      <c r="B43" s="9" t="s">
        <v>96</v>
      </c>
      <c r="C43" s="9" t="s">
        <v>97</v>
      </c>
      <c r="D43" s="9" t="s">
        <v>98</v>
      </c>
      <c r="E43" s="9"/>
      <c r="F43" s="9"/>
      <c r="G43" s="9"/>
    </row>
    <row r="44" customFormat="false" ht="15" hidden="false" customHeight="false" outlineLevel="0" collapsed="false">
      <c r="A44" s="8" t="s">
        <v>99</v>
      </c>
      <c r="B44" s="9" t="s">
        <v>100</v>
      </c>
      <c r="C44" s="9" t="s">
        <v>101</v>
      </c>
      <c r="D44" s="9" t="s">
        <v>102</v>
      </c>
      <c r="E44" s="9"/>
      <c r="F44" s="9"/>
      <c r="G44" s="9"/>
    </row>
    <row r="46" customFormat="false" ht="15" hidden="false" customHeight="false" outlineLevel="0" collapsed="false">
      <c r="A46" s="4" t="s">
        <v>103</v>
      </c>
      <c r="B46" s="4"/>
      <c r="C46" s="4"/>
      <c r="D46" s="4"/>
      <c r="E46" s="4"/>
      <c r="F46" s="4"/>
      <c r="G46" s="4"/>
    </row>
    <row r="47" customFormat="false" ht="15" hidden="false" customHeight="false" outlineLevel="0" collapsed="false">
      <c r="A47" s="7" t="s">
        <v>11</v>
      </c>
      <c r="B47" s="7" t="s">
        <v>12</v>
      </c>
      <c r="C47" s="7" t="s">
        <v>13</v>
      </c>
      <c r="D47" s="7" t="s">
        <v>14</v>
      </c>
      <c r="E47" s="7" t="s">
        <v>15</v>
      </c>
      <c r="F47" s="7" t="s">
        <v>16</v>
      </c>
      <c r="G47" s="7" t="s">
        <v>17</v>
      </c>
    </row>
    <row r="48" customFormat="false" ht="15" hidden="false" customHeight="false" outlineLevel="0" collapsed="false">
      <c r="A48" s="8" t="s">
        <v>104</v>
      </c>
      <c r="B48" s="9" t="s">
        <v>105</v>
      </c>
      <c r="C48" s="9" t="s">
        <v>106</v>
      </c>
      <c r="D48" s="9" t="s">
        <v>107</v>
      </c>
      <c r="E48" s="9"/>
      <c r="F48" s="9"/>
      <c r="G48" s="9"/>
    </row>
    <row r="49" customFormat="false" ht="15" hidden="false" customHeight="false" outlineLevel="0" collapsed="false">
      <c r="A49" s="8" t="s">
        <v>108</v>
      </c>
      <c r="B49" s="9" t="s">
        <v>109</v>
      </c>
      <c r="C49" s="9" t="s">
        <v>110</v>
      </c>
      <c r="D49" s="9" t="s">
        <v>111</v>
      </c>
      <c r="E49" s="9"/>
      <c r="F49" s="9"/>
      <c r="G49" s="9"/>
    </row>
    <row r="50" customFormat="false" ht="15" hidden="false" customHeight="false" outlineLevel="0" collapsed="false">
      <c r="A50" s="8" t="s">
        <v>112</v>
      </c>
      <c r="B50" s="9" t="s">
        <v>113</v>
      </c>
      <c r="C50" s="9" t="s">
        <v>114</v>
      </c>
      <c r="D50" s="9" t="s">
        <v>115</v>
      </c>
      <c r="E50" s="9"/>
      <c r="F50" s="9"/>
      <c r="G50" s="9"/>
    </row>
    <row r="51" customFormat="false" ht="15" hidden="false" customHeight="false" outlineLevel="0" collapsed="false">
      <c r="A51" s="8" t="s">
        <v>116</v>
      </c>
      <c r="B51" s="9" t="s">
        <v>117</v>
      </c>
      <c r="C51" s="9" t="s">
        <v>106</v>
      </c>
      <c r="D51" s="9" t="s">
        <v>118</v>
      </c>
      <c r="E51" s="9"/>
      <c r="F51" s="9"/>
      <c r="G51" s="9"/>
    </row>
    <row r="53" customFormat="false" ht="15" hidden="false" customHeight="false" outlineLevel="0" collapsed="false">
      <c r="A53" s="4" t="s">
        <v>119</v>
      </c>
      <c r="B53" s="4"/>
      <c r="C53" s="4"/>
      <c r="D53" s="4"/>
      <c r="E53" s="4"/>
      <c r="F53" s="4"/>
      <c r="G53" s="4"/>
    </row>
    <row r="54" customFormat="false" ht="15" hidden="false" customHeight="false" outlineLevel="0" collapsed="false">
      <c r="A54" s="5" t="s">
        <v>120</v>
      </c>
      <c r="B54" s="5"/>
      <c r="C54" s="5"/>
      <c r="D54" s="5"/>
      <c r="E54" s="5"/>
      <c r="F54" s="10" t="str">
        <f aca="false">IF(COUNT(F17:F21)&gt;0,AVERAGE(F17:F21)*0.25,"")</f>
        <v/>
      </c>
      <c r="G54" s="6"/>
    </row>
    <row r="55" customFormat="false" ht="15" hidden="false" customHeight="false" outlineLevel="0" collapsed="false">
      <c r="A55" s="5" t="s">
        <v>121</v>
      </c>
      <c r="B55" s="5"/>
      <c r="C55" s="5"/>
      <c r="D55" s="5"/>
      <c r="E55" s="5"/>
      <c r="F55" s="10" t="str">
        <f aca="false">IF(COUNT(F24:F28)&gt;0,AVERAGE(F24:F28)*0.25,"")</f>
        <v/>
      </c>
      <c r="G55" s="6"/>
    </row>
    <row r="56" customFormat="false" ht="15" hidden="false" customHeight="false" outlineLevel="0" collapsed="false">
      <c r="A56" s="5" t="s">
        <v>122</v>
      </c>
      <c r="B56" s="5"/>
      <c r="C56" s="5"/>
      <c r="D56" s="5"/>
      <c r="E56" s="5"/>
      <c r="F56" s="10" t="str">
        <f aca="false">IF(COUNT(F31:F36)&gt;0,AVERAGE(F31:F36)*0.2,"")</f>
        <v/>
      </c>
      <c r="G56" s="6"/>
    </row>
    <row r="57" customFormat="false" ht="15" hidden="false" customHeight="false" outlineLevel="0" collapsed="false">
      <c r="A57" s="5" t="s">
        <v>123</v>
      </c>
      <c r="B57" s="5"/>
      <c r="C57" s="5"/>
      <c r="D57" s="5"/>
      <c r="E57" s="5"/>
      <c r="F57" s="10" t="str">
        <f aca="false">IF(COUNT(F39:F43)&gt;0,AVERAGE(F39:F43)*0.15,"")</f>
        <v/>
      </c>
      <c r="G57" s="6"/>
    </row>
    <row r="58" customFormat="false" ht="15" hidden="false" customHeight="false" outlineLevel="0" collapsed="false">
      <c r="A58" s="5" t="s">
        <v>124</v>
      </c>
      <c r="B58" s="5"/>
      <c r="C58" s="5"/>
      <c r="D58" s="5"/>
      <c r="E58" s="5"/>
      <c r="F58" s="10" t="str">
        <f aca="false">IF(COUNT(F46:F49)&gt;0,AVERAGE(F46:F49)*0.15,"")</f>
        <v/>
      </c>
      <c r="G58" s="6"/>
    </row>
    <row r="59" customFormat="false" ht="15" hidden="false" customHeight="false" outlineLevel="0" collapsed="false">
      <c r="A59" s="11" t="s">
        <v>125</v>
      </c>
      <c r="B59" s="11"/>
      <c r="C59" s="11"/>
      <c r="D59" s="11"/>
      <c r="E59" s="11"/>
      <c r="F59" s="12" t="str">
        <f aca="false">IF(COUNT(F54:F58)&gt;0,SUM(F54:F58),"")</f>
        <v/>
      </c>
      <c r="G59" s="6"/>
    </row>
    <row r="60" customFormat="false" ht="15" hidden="false" customHeight="false" outlineLevel="0" collapsed="false">
      <c r="A60" s="11" t="s">
        <v>126</v>
      </c>
      <c r="B60" s="11"/>
      <c r="C60" s="11"/>
      <c r="D60" s="11"/>
      <c r="E60" s="11"/>
      <c r="F60" s="13" t="str">
        <f aca="false">IF(F59="","",IF(F59&gt;=4,"EXCEEDS EXPECTATIONS",IF(F59&gt;=3,"MEETS EXPECTATIONS",IF(F59&gt;=2,"NEEDS IMPROVEMENT","UNSATISFACTORY"))))</f>
        <v/>
      </c>
      <c r="G60" s="6"/>
    </row>
    <row r="62" customFormat="false" ht="15" hidden="false" customHeight="false" outlineLevel="0" collapsed="false">
      <c r="A62" s="4" t="s">
        <v>127</v>
      </c>
      <c r="B62" s="4"/>
      <c r="C62" s="4"/>
      <c r="D62" s="4"/>
      <c r="E62" s="4"/>
      <c r="F62" s="4"/>
      <c r="G62" s="4"/>
    </row>
    <row r="63" customFormat="false" ht="15" hidden="false" customHeight="false" outlineLevel="0" collapsed="false">
      <c r="A63" s="5" t="s">
        <v>128</v>
      </c>
      <c r="B63" s="14" t="s">
        <v>129</v>
      </c>
      <c r="C63" s="14"/>
      <c r="D63" s="14"/>
      <c r="E63" s="14"/>
      <c r="F63" s="14"/>
      <c r="G63" s="14"/>
    </row>
    <row r="64" customFormat="false" ht="15" hidden="false" customHeight="false" outlineLevel="0" collapsed="false">
      <c r="A64" s="5" t="s">
        <v>130</v>
      </c>
      <c r="B64" s="14" t="s">
        <v>131</v>
      </c>
      <c r="C64" s="14"/>
      <c r="D64" s="14"/>
      <c r="E64" s="14"/>
      <c r="F64" s="14"/>
      <c r="G64" s="14"/>
    </row>
    <row r="65" customFormat="false" ht="15" hidden="false" customHeight="false" outlineLevel="0" collapsed="false">
      <c r="A65" s="5" t="s">
        <v>132</v>
      </c>
      <c r="B65" s="14" t="s">
        <v>133</v>
      </c>
      <c r="C65" s="14"/>
      <c r="D65" s="14"/>
      <c r="E65" s="14"/>
      <c r="F65" s="14"/>
      <c r="G65" s="14"/>
    </row>
    <row r="66" customFormat="false" ht="15" hidden="false" customHeight="false" outlineLevel="0" collapsed="false">
      <c r="A66" s="5" t="s">
        <v>134</v>
      </c>
      <c r="B66" s="14" t="s">
        <v>135</v>
      </c>
      <c r="C66" s="14"/>
      <c r="D66" s="14"/>
      <c r="E66" s="14"/>
      <c r="F66" s="14"/>
      <c r="G66" s="14"/>
    </row>
    <row r="67" customFormat="false" ht="15" hidden="false" customHeight="false" outlineLevel="0" collapsed="false">
      <c r="A67" s="5" t="s">
        <v>136</v>
      </c>
      <c r="B67" s="14" t="s">
        <v>137</v>
      </c>
      <c r="C67" s="14"/>
      <c r="D67" s="14"/>
      <c r="E67" s="14"/>
      <c r="F67" s="14"/>
      <c r="G67" s="14"/>
    </row>
    <row r="69" customFormat="false" ht="15" hidden="false" customHeight="false" outlineLevel="0" collapsed="false">
      <c r="A69" s="4" t="s">
        <v>138</v>
      </c>
      <c r="B69" s="4"/>
      <c r="C69" s="4"/>
      <c r="D69" s="4"/>
      <c r="E69" s="4"/>
      <c r="F69" s="4"/>
      <c r="G69" s="4"/>
    </row>
    <row r="70" customFormat="false" ht="15" hidden="false" customHeight="false" outlineLevel="0" collapsed="false">
      <c r="A70" s="7" t="s">
        <v>139</v>
      </c>
      <c r="B70" s="7" t="s">
        <v>140</v>
      </c>
      <c r="C70" s="7" t="s">
        <v>141</v>
      </c>
      <c r="D70" s="7" t="s">
        <v>142</v>
      </c>
      <c r="E70" s="7"/>
      <c r="F70" s="7"/>
      <c r="G70" s="7"/>
    </row>
    <row r="71" customFormat="false" ht="27.75" hidden="false" customHeight="true" outlineLevel="0" collapsed="false">
      <c r="A71" s="15" t="s">
        <v>143</v>
      </c>
      <c r="B71" s="9" t="s">
        <v>144</v>
      </c>
      <c r="C71" s="9" t="s">
        <v>145</v>
      </c>
      <c r="D71" s="9" t="s">
        <v>146</v>
      </c>
      <c r="E71" s="6"/>
      <c r="F71" s="6"/>
      <c r="G71" s="6"/>
    </row>
    <row r="72" customFormat="false" ht="27.75" hidden="false" customHeight="true" outlineLevel="0" collapsed="false">
      <c r="A72" s="15" t="s">
        <v>147</v>
      </c>
      <c r="B72" s="9" t="s">
        <v>148</v>
      </c>
      <c r="C72" s="9" t="s">
        <v>149</v>
      </c>
      <c r="D72" s="9" t="s">
        <v>150</v>
      </c>
      <c r="E72" s="6"/>
      <c r="F72" s="6"/>
      <c r="G72" s="6"/>
    </row>
    <row r="73" customFormat="false" ht="27.75" hidden="false" customHeight="true" outlineLevel="0" collapsed="false">
      <c r="A73" s="15" t="s">
        <v>151</v>
      </c>
      <c r="B73" s="9" t="s">
        <v>148</v>
      </c>
      <c r="C73" s="9" t="s">
        <v>149</v>
      </c>
      <c r="D73" s="9" t="s">
        <v>152</v>
      </c>
      <c r="E73" s="6"/>
      <c r="F73" s="6"/>
      <c r="G73" s="6"/>
    </row>
    <row r="76" customFormat="false" ht="15" hidden="false" customHeight="false" outlineLevel="0" collapsed="false">
      <c r="A76" s="4" t="s">
        <v>153</v>
      </c>
      <c r="B76" s="4"/>
      <c r="C76" s="4"/>
      <c r="D76" s="4"/>
      <c r="E76" s="4"/>
      <c r="F76" s="4"/>
      <c r="G76" s="4"/>
    </row>
    <row r="77" customFormat="false" ht="15" hidden="false" customHeight="false" outlineLevel="0" collapsed="false">
      <c r="A77" s="5" t="s">
        <v>154</v>
      </c>
      <c r="B77" s="6"/>
      <c r="C77" s="6"/>
      <c r="D77" s="6"/>
      <c r="E77" s="6"/>
      <c r="F77" s="6"/>
      <c r="G77" s="6"/>
    </row>
    <row r="78" customFormat="false" ht="15" hidden="false" customHeight="false" outlineLevel="0" collapsed="false">
      <c r="A78" s="5" t="s">
        <v>155</v>
      </c>
      <c r="B78" s="6"/>
      <c r="C78" s="6"/>
      <c r="D78" s="6"/>
      <c r="E78" s="6"/>
      <c r="F78" s="6"/>
      <c r="G78" s="6"/>
    </row>
    <row r="79" customFormat="false" ht="15" hidden="false" customHeight="false" outlineLevel="0" collapsed="false">
      <c r="A79" s="5" t="s">
        <v>156</v>
      </c>
      <c r="B79" s="6"/>
      <c r="C79" s="6"/>
      <c r="D79" s="6"/>
      <c r="E79" s="6"/>
      <c r="F79" s="6"/>
      <c r="G79" s="6"/>
    </row>
    <row r="80" customFormat="false" ht="15" hidden="false" customHeight="false" outlineLevel="0" collapsed="false">
      <c r="A80" s="5" t="s">
        <v>157</v>
      </c>
      <c r="B80" s="6"/>
      <c r="C80" s="6"/>
      <c r="D80" s="6"/>
      <c r="E80" s="6"/>
      <c r="F80" s="6"/>
      <c r="G80" s="6"/>
    </row>
    <row r="81" customFormat="false" ht="15" hidden="false" customHeight="false" outlineLevel="0" collapsed="false">
      <c r="A81" s="5" t="s">
        <v>158</v>
      </c>
      <c r="B81" s="6"/>
      <c r="C81" s="6"/>
      <c r="D81" s="6"/>
      <c r="E81" s="6"/>
      <c r="F81" s="6"/>
      <c r="G81" s="6"/>
    </row>
  </sheetData>
  <mergeCells count="36">
    <mergeCell ref="A1:G1"/>
    <mergeCell ref="A2:G2"/>
    <mergeCell ref="A3:G3"/>
    <mergeCell ref="A5:G5"/>
    <mergeCell ref="B6:G6"/>
    <mergeCell ref="B7:G7"/>
    <mergeCell ref="B8:G8"/>
    <mergeCell ref="B9:G9"/>
    <mergeCell ref="B10:G10"/>
    <mergeCell ref="B11:G11"/>
    <mergeCell ref="A13:G13"/>
    <mergeCell ref="A21:G21"/>
    <mergeCell ref="A29:G29"/>
    <mergeCell ref="A38:G38"/>
    <mergeCell ref="A46:G46"/>
    <mergeCell ref="A53:G53"/>
    <mergeCell ref="A54:E54"/>
    <mergeCell ref="A55:E55"/>
    <mergeCell ref="A56:E56"/>
    <mergeCell ref="A57:E57"/>
    <mergeCell ref="A58:E58"/>
    <mergeCell ref="A59:E59"/>
    <mergeCell ref="A60:E60"/>
    <mergeCell ref="A62:G62"/>
    <mergeCell ref="B63:G63"/>
    <mergeCell ref="B64:G64"/>
    <mergeCell ref="B65:G65"/>
    <mergeCell ref="B66:G66"/>
    <mergeCell ref="B67:G67"/>
    <mergeCell ref="A69:G69"/>
    <mergeCell ref="A76:G76"/>
    <mergeCell ref="B77:G77"/>
    <mergeCell ref="B78:G78"/>
    <mergeCell ref="B79:G79"/>
    <mergeCell ref="B80:G80"/>
    <mergeCell ref="B81:G81"/>
  </mergeCells>
  <dataValidations count="1">
    <dataValidation allowBlank="false" errorStyle="stop" operator="between" prompt="Enter score 1-5" promptTitle="Score" showDropDown="false" showErrorMessage="false" showInputMessage="false" sqref="F17:F21 F24:F28 F31:F36 F39:F43 F46:F49" type="whole">
      <formula1>1</formula1>
      <formula2>5</formula2>
    </dataValidation>
  </dataValidations>
  <printOptions headings="false" gridLines="false" gridLinesSet="true" horizontalCentered="true" verticalCentered="false"/>
  <pageMargins left="0.4" right="0.4" top="0.5" bottom="0.5" header="0.3" footer="0.3"/>
  <pageSetup paperSize="9"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Appendix_J_Evaluation_Methodology&amp;R&amp;"Arial,Regular"&amp;9 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6" min="1" style="0" width="28"/>
  </cols>
  <sheetData>
    <row r="1" customFormat="false" ht="15" hidden="false" customHeight="false" outlineLevel="0" collapsed="false">
      <c r="A1" s="16" t="s">
        <v>159</v>
      </c>
      <c r="B1" s="16"/>
      <c r="C1" s="16"/>
      <c r="D1" s="16"/>
      <c r="E1" s="16"/>
      <c r="F1" s="16"/>
    </row>
    <row r="3" customFormat="false" ht="15" hidden="false" customHeight="false" outlineLevel="0" collapsed="false">
      <c r="A3" s="7" t="s">
        <v>160</v>
      </c>
      <c r="B3" s="7" t="s">
        <v>143</v>
      </c>
      <c r="C3" s="7" t="s">
        <v>147</v>
      </c>
      <c r="D3" s="7" t="s">
        <v>161</v>
      </c>
      <c r="E3" s="7" t="s">
        <v>151</v>
      </c>
      <c r="F3" s="7" t="s">
        <v>162</v>
      </c>
    </row>
    <row r="4" customFormat="false" ht="27.75" hidden="false" customHeight="true" outlineLevel="0" collapsed="false">
      <c r="A4" s="8" t="s">
        <v>163</v>
      </c>
      <c r="B4" s="9" t="s">
        <v>164</v>
      </c>
      <c r="C4" s="9" t="s">
        <v>165</v>
      </c>
      <c r="D4" s="9" t="s">
        <v>166</v>
      </c>
      <c r="E4" s="9" t="s">
        <v>167</v>
      </c>
      <c r="F4" s="9" t="s">
        <v>168</v>
      </c>
    </row>
    <row r="5" customFormat="false" ht="27.75" hidden="false" customHeight="true" outlineLevel="0" collapsed="false">
      <c r="A5" s="8" t="s">
        <v>169</v>
      </c>
      <c r="B5" s="9" t="s">
        <v>167</v>
      </c>
      <c r="C5" s="9" t="s">
        <v>170</v>
      </c>
      <c r="D5" s="9" t="s">
        <v>167</v>
      </c>
      <c r="E5" s="9" t="s">
        <v>170</v>
      </c>
      <c r="F5" s="9" t="s">
        <v>171</v>
      </c>
    </row>
    <row r="6" customFormat="false" ht="27.75" hidden="false" customHeight="true" outlineLevel="0" collapsed="false">
      <c r="A6" s="8" t="s">
        <v>172</v>
      </c>
      <c r="B6" s="9" t="s">
        <v>173</v>
      </c>
      <c r="C6" s="9" t="s">
        <v>174</v>
      </c>
      <c r="D6" s="9" t="s">
        <v>173</v>
      </c>
      <c r="E6" s="9" t="s">
        <v>173</v>
      </c>
      <c r="F6" s="9" t="s">
        <v>175</v>
      </c>
    </row>
  </sheetData>
  <mergeCells count="1">
    <mergeCell ref="A1:F1"/>
  </mergeCells>
  <printOptions headings="false" gridLines="false" gridLinesSet="true" horizontalCentered="true" verticalCentered="false"/>
  <pageMargins left="0.4" right="0.4" top="0.5" bottom="0.5" header="0.3" footer="0.3"/>
  <pageSetup paperSize="9"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Appendix_J_Evaluation_Methodology&amp;R&amp;"Arial,Regular"&amp;9 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22"/>
    <col collapsed="false" customWidth="true" hidden="false" outlineLevel="0" max="2" min="2" style="0" width="90"/>
  </cols>
  <sheetData>
    <row r="1" customFormat="false" ht="15" hidden="false" customHeight="false" outlineLevel="0" collapsed="false">
      <c r="A1" s="16" t="s">
        <v>176</v>
      </c>
      <c r="B1" s="16"/>
    </row>
    <row r="3" customFormat="false" ht="42" hidden="false" customHeight="true" outlineLevel="0" collapsed="false">
      <c r="A3" s="17" t="s">
        <v>177</v>
      </c>
      <c r="B3" s="9" t="s">
        <v>178</v>
      </c>
    </row>
    <row r="4" customFormat="false" ht="42" hidden="false" customHeight="true" outlineLevel="0" collapsed="false">
      <c r="A4" s="17" t="s">
        <v>179</v>
      </c>
      <c r="B4" s="9" t="s">
        <v>180</v>
      </c>
    </row>
    <row r="5" customFormat="false" ht="42" hidden="false" customHeight="true" outlineLevel="0" collapsed="false">
      <c r="A5" s="17" t="s">
        <v>181</v>
      </c>
      <c r="B5" s="9" t="s">
        <v>182</v>
      </c>
    </row>
    <row r="6" customFormat="false" ht="42" hidden="false" customHeight="true" outlineLevel="0" collapsed="false">
      <c r="A6" s="17" t="s">
        <v>183</v>
      </c>
      <c r="B6" s="9" t="s">
        <v>184</v>
      </c>
    </row>
    <row r="7" customFormat="false" ht="42" hidden="false" customHeight="true" outlineLevel="0" collapsed="false">
      <c r="A7" s="17" t="s">
        <v>185</v>
      </c>
      <c r="B7" s="9" t="s">
        <v>186</v>
      </c>
    </row>
    <row r="8" customFormat="false" ht="15" hidden="false" customHeight="false" outlineLevel="0" collapsed="false">
      <c r="A8" s="17" t="s">
        <v>187</v>
      </c>
      <c r="B8" s="9" t="s">
        <v>188</v>
      </c>
    </row>
    <row r="9" customFormat="false" ht="27.75" hidden="false" customHeight="true" outlineLevel="0" collapsed="false">
      <c r="A9" s="17" t="s">
        <v>189</v>
      </c>
      <c r="B9" s="9" t="s">
        <v>190</v>
      </c>
    </row>
    <row r="10" customFormat="false" ht="42" hidden="false" customHeight="true" outlineLevel="0" collapsed="false">
      <c r="A10" s="17" t="s">
        <v>191</v>
      </c>
      <c r="B10" s="9" t="s">
        <v>192</v>
      </c>
    </row>
    <row r="11" customFormat="false" ht="69.75" hidden="false" customHeight="true" outlineLevel="0" collapsed="false">
      <c r="A11" s="18" t="s">
        <v>193</v>
      </c>
      <c r="B11" s="19" t="s">
        <v>194</v>
      </c>
    </row>
    <row r="12" customFormat="false" ht="69.75" hidden="false" customHeight="true" outlineLevel="0" collapsed="false">
      <c r="A12" s="18" t="s">
        <v>195</v>
      </c>
      <c r="B12" s="19" t="s">
        <v>196</v>
      </c>
    </row>
  </sheetData>
  <mergeCells count="1">
    <mergeCell ref="A1:B1"/>
  </mergeCells>
  <printOptions headings="false" gridLines="false" gridLinesSet="true" horizontalCentered="true" verticalCentered="false"/>
  <pageMargins left="0.4" right="0.4" top="0.5" bottom="0.5" header="0.3" footer="0.3"/>
  <pageSetup paperSize="9"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Appendix_J_Evaluation_Methodology&amp;R&amp;"Arial,Regular"&amp;9 Page &amp;P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7" min="4" style="0" width="14"/>
    <col collapsed="false" customWidth="true" hidden="false" outlineLevel="0" max="8" min="8" style="0" width="22"/>
  </cols>
  <sheetData>
    <row r="1" customFormat="false" ht="25.5" hidden="false" customHeight="true" outlineLevel="0" collapsed="false">
      <c r="A1" s="20" t="s">
        <v>197</v>
      </c>
      <c r="B1" s="20"/>
      <c r="C1" s="20"/>
      <c r="D1" s="20"/>
      <c r="E1" s="20"/>
      <c r="F1" s="20"/>
      <c r="G1" s="20"/>
      <c r="H1" s="20"/>
    </row>
    <row r="2" customFormat="false" ht="15" hidden="false" customHeight="false" outlineLevel="0" collapsed="false">
      <c r="A2" s="21" t="s">
        <v>198</v>
      </c>
      <c r="B2" s="21"/>
      <c r="C2" s="21"/>
      <c r="D2" s="21"/>
      <c r="E2" s="21"/>
      <c r="F2" s="21"/>
      <c r="G2" s="21"/>
      <c r="H2" s="21"/>
    </row>
    <row r="3" customFormat="false" ht="15" hidden="false" customHeight="false" outlineLevel="0" collapsed="false">
      <c r="A3" s="22" t="s">
        <v>199</v>
      </c>
      <c r="B3" s="22"/>
      <c r="C3" s="22"/>
      <c r="D3" s="22"/>
      <c r="E3" s="22"/>
      <c r="F3" s="22"/>
      <c r="G3" s="22"/>
      <c r="H3" s="22"/>
    </row>
    <row r="5" customFormat="false" ht="21.75" hidden="false" customHeight="true" outlineLevel="0" collapsed="false">
      <c r="A5" s="23" t="s">
        <v>200</v>
      </c>
      <c r="B5" s="23"/>
      <c r="C5" s="23"/>
      <c r="D5" s="23"/>
      <c r="E5" s="23"/>
      <c r="F5" s="23"/>
      <c r="G5" s="23"/>
      <c r="H5" s="23"/>
    </row>
    <row r="6" customFormat="false" ht="109.5" hidden="false" customHeight="true" outlineLevel="0" collapsed="false">
      <c r="A6" s="24" t="s">
        <v>201</v>
      </c>
      <c r="B6" s="24"/>
      <c r="C6" s="24"/>
      <c r="D6" s="24"/>
      <c r="E6" s="24"/>
      <c r="F6" s="24"/>
      <c r="G6" s="24"/>
      <c r="H6" s="24"/>
    </row>
    <row r="8" customFormat="false" ht="21.75" hidden="false" customHeight="true" outlineLevel="0" collapsed="false">
      <c r="A8" s="23" t="s">
        <v>202</v>
      </c>
      <c r="B8" s="23"/>
      <c r="C8" s="23"/>
      <c r="D8" s="23"/>
      <c r="E8" s="23"/>
      <c r="F8" s="23"/>
      <c r="G8" s="23"/>
      <c r="H8" s="23"/>
    </row>
    <row r="9" customFormat="false" ht="15" hidden="false" customHeight="false" outlineLevel="0" collapsed="false">
      <c r="A9" s="25" t="s">
        <v>4</v>
      </c>
      <c r="B9" s="26"/>
      <c r="C9" s="26"/>
      <c r="D9" s="26"/>
      <c r="E9" s="26"/>
      <c r="F9" s="26"/>
      <c r="G9" s="26"/>
      <c r="H9" s="26"/>
    </row>
    <row r="10" customFormat="false" ht="15" hidden="false" customHeight="false" outlineLevel="0" collapsed="false">
      <c r="A10" s="25" t="s">
        <v>5</v>
      </c>
      <c r="B10" s="26"/>
      <c r="C10" s="26"/>
      <c r="D10" s="26"/>
      <c r="E10" s="26"/>
      <c r="F10" s="26"/>
      <c r="G10" s="26"/>
      <c r="H10" s="26"/>
    </row>
    <row r="11" customFormat="false" ht="15" hidden="false" customHeight="false" outlineLevel="0" collapsed="false">
      <c r="A11" s="25" t="s">
        <v>203</v>
      </c>
      <c r="B11" s="26" t="s">
        <v>204</v>
      </c>
      <c r="C11" s="26"/>
      <c r="D11" s="26"/>
      <c r="E11" s="26"/>
      <c r="F11" s="26"/>
      <c r="G11" s="26"/>
      <c r="H11" s="26"/>
    </row>
    <row r="12" customFormat="false" ht="15" hidden="false" customHeight="false" outlineLevel="0" collapsed="false">
      <c r="A12" s="25" t="s">
        <v>205</v>
      </c>
      <c r="B12" s="26" t="n">
        <v>0.01</v>
      </c>
      <c r="C12" s="26"/>
      <c r="D12" s="26"/>
      <c r="E12" s="26"/>
      <c r="F12" s="26"/>
      <c r="G12" s="26"/>
      <c r="H12" s="26"/>
    </row>
    <row r="13" customFormat="false" ht="15" hidden="false" customHeight="false" outlineLevel="0" collapsed="false">
      <c r="A13" s="25" t="s">
        <v>206</v>
      </c>
      <c r="B13" s="26" t="n">
        <v>0.95</v>
      </c>
      <c r="C13" s="26"/>
      <c r="D13" s="26"/>
      <c r="E13" s="26"/>
      <c r="F13" s="26"/>
      <c r="G13" s="26"/>
      <c r="H13" s="26"/>
    </row>
    <row r="14" customFormat="false" ht="15" hidden="false" customHeight="false" outlineLevel="0" collapsed="false">
      <c r="A14" s="25" t="s">
        <v>207</v>
      </c>
      <c r="B14" s="26"/>
      <c r="C14" s="26"/>
      <c r="D14" s="26"/>
      <c r="E14" s="26"/>
      <c r="F14" s="26"/>
      <c r="G14" s="26"/>
      <c r="H14" s="26"/>
    </row>
    <row r="15" customFormat="false" ht="15" hidden="false" customHeight="false" outlineLevel="0" collapsed="false">
      <c r="A15" s="25" t="s">
        <v>208</v>
      </c>
      <c r="B15" s="26"/>
      <c r="C15" s="26"/>
      <c r="D15" s="26"/>
      <c r="E15" s="26"/>
      <c r="F15" s="26"/>
      <c r="G15" s="26"/>
      <c r="H15" s="26"/>
    </row>
    <row r="17" customFormat="false" ht="21.75" hidden="false" customHeight="true" outlineLevel="0" collapsed="false">
      <c r="A17" s="23" t="s">
        <v>209</v>
      </c>
      <c r="B17" s="23"/>
      <c r="C17" s="23"/>
      <c r="D17" s="23"/>
      <c r="E17" s="23"/>
      <c r="F17" s="23"/>
      <c r="G17" s="23"/>
      <c r="H17" s="23"/>
    </row>
    <row r="18" customFormat="false" ht="105" hidden="false" customHeight="true" outlineLevel="0" collapsed="false">
      <c r="A18" s="24" t="s">
        <v>210</v>
      </c>
      <c r="B18" s="24"/>
      <c r="C18" s="24"/>
      <c r="D18" s="24"/>
      <c r="E18" s="24"/>
      <c r="F18" s="24"/>
      <c r="G18" s="24"/>
      <c r="H18" s="24"/>
    </row>
    <row r="20" customFormat="false" ht="36" hidden="false" customHeight="true" outlineLevel="0" collapsed="false">
      <c r="A20" s="27" t="s">
        <v>211</v>
      </c>
      <c r="B20" s="27"/>
      <c r="C20" s="27"/>
      <c r="D20" s="27"/>
      <c r="E20" s="27"/>
      <c r="F20" s="27"/>
      <c r="G20" s="27"/>
      <c r="H20" s="27"/>
    </row>
    <row r="22" customFormat="false" ht="36" hidden="false" customHeight="true" outlineLevel="0" collapsed="false">
      <c r="A22" s="28" t="s">
        <v>212</v>
      </c>
      <c r="B22" s="28" t="s">
        <v>213</v>
      </c>
      <c r="C22" s="28" t="s">
        <v>214</v>
      </c>
      <c r="D22" s="28" t="s">
        <v>215</v>
      </c>
      <c r="E22" s="28" t="s">
        <v>216</v>
      </c>
      <c r="F22" s="28" t="s">
        <v>217</v>
      </c>
      <c r="G22" s="28" t="s">
        <v>218</v>
      </c>
      <c r="H22" s="28" t="s">
        <v>219</v>
      </c>
    </row>
    <row r="23" customFormat="false" ht="24" hidden="false" customHeight="true" outlineLevel="0" collapsed="false">
      <c r="A23" s="29"/>
      <c r="B23" s="29"/>
      <c r="C23" s="29"/>
      <c r="D23" s="29"/>
      <c r="E23" s="29"/>
      <c r="F23" s="29"/>
      <c r="G23" s="29"/>
      <c r="H23" s="29"/>
    </row>
    <row r="24" customFormat="false" ht="24" hidden="false" customHeight="true" outlineLevel="0" collapsed="false">
      <c r="A24" s="29"/>
      <c r="B24" s="29"/>
      <c r="C24" s="29"/>
      <c r="D24" s="29"/>
      <c r="E24" s="29"/>
      <c r="F24" s="29"/>
      <c r="G24" s="29"/>
      <c r="H24" s="29"/>
    </row>
    <row r="25" customFormat="false" ht="24" hidden="false" customHeight="true" outlineLevel="0" collapsed="false">
      <c r="A25" s="29"/>
      <c r="B25" s="29"/>
      <c r="C25" s="29"/>
      <c r="D25" s="29"/>
      <c r="E25" s="29"/>
      <c r="F25" s="29"/>
      <c r="G25" s="29"/>
      <c r="H25" s="29"/>
    </row>
    <row r="26" customFormat="false" ht="24" hidden="false" customHeight="true" outlineLevel="0" collapsed="false">
      <c r="A26" s="29"/>
      <c r="B26" s="29"/>
      <c r="C26" s="29"/>
      <c r="D26" s="29"/>
      <c r="E26" s="29"/>
      <c r="F26" s="29"/>
      <c r="G26" s="29"/>
      <c r="H26" s="29"/>
    </row>
    <row r="27" customFormat="false" ht="24" hidden="false" customHeight="true" outlineLevel="0" collapsed="false">
      <c r="A27" s="29"/>
      <c r="B27" s="29"/>
      <c r="C27" s="29"/>
      <c r="D27" s="29"/>
      <c r="E27" s="29"/>
      <c r="F27" s="29"/>
      <c r="G27" s="29"/>
      <c r="H27" s="29"/>
    </row>
    <row r="28" customFormat="false" ht="24" hidden="false" customHeight="true" outlineLevel="0" collapsed="false">
      <c r="A28" s="29"/>
      <c r="B28" s="29"/>
      <c r="C28" s="29"/>
      <c r="D28" s="29"/>
      <c r="E28" s="29"/>
      <c r="F28" s="29"/>
      <c r="G28" s="29"/>
      <c r="H28" s="29"/>
    </row>
    <row r="29" customFormat="false" ht="24" hidden="false" customHeight="true" outlineLevel="0" collapsed="false">
      <c r="A29" s="29"/>
      <c r="B29" s="29"/>
      <c r="C29" s="29"/>
      <c r="D29" s="29"/>
      <c r="E29" s="29"/>
      <c r="F29" s="29"/>
      <c r="G29" s="29"/>
      <c r="H29" s="29"/>
    </row>
    <row r="30" customFormat="false" ht="24" hidden="false" customHeight="true" outlineLevel="0" collapsed="false">
      <c r="A30" s="29"/>
      <c r="B30" s="29"/>
      <c r="C30" s="29"/>
      <c r="D30" s="29"/>
      <c r="E30" s="29"/>
      <c r="F30" s="29"/>
      <c r="G30" s="29"/>
      <c r="H30" s="29"/>
    </row>
    <row r="32" customFormat="false" ht="36" hidden="false" customHeight="true" outlineLevel="0" collapsed="false">
      <c r="A32" s="30" t="s">
        <v>220</v>
      </c>
      <c r="B32" s="30"/>
      <c r="C32" s="30"/>
      <c r="D32" s="30"/>
      <c r="E32" s="30"/>
      <c r="F32" s="30"/>
      <c r="G32" s="30"/>
      <c r="H32" s="30"/>
    </row>
    <row r="33" customFormat="false" ht="15" hidden="false" customHeight="false" outlineLevel="0" collapsed="false">
      <c r="A33" s="31" t="s">
        <v>221</v>
      </c>
      <c r="B33" s="26"/>
      <c r="C33" s="26"/>
      <c r="D33" s="26"/>
      <c r="E33" s="26"/>
      <c r="F33" s="26"/>
      <c r="G33" s="26"/>
      <c r="H33" s="26"/>
    </row>
    <row r="35" customFormat="false" ht="21.75" hidden="false" customHeight="true" outlineLevel="0" collapsed="false">
      <c r="A35" s="23" t="s">
        <v>222</v>
      </c>
      <c r="B35" s="23"/>
      <c r="C35" s="23"/>
      <c r="D35" s="23"/>
      <c r="E35" s="23"/>
      <c r="F35" s="23"/>
      <c r="G35" s="23"/>
      <c r="H35" s="23"/>
    </row>
    <row r="36" customFormat="false" ht="90" hidden="false" customHeight="true" outlineLevel="0" collapsed="false">
      <c r="A36" s="24" t="s">
        <v>223</v>
      </c>
      <c r="B36" s="24"/>
      <c r="C36" s="24"/>
      <c r="D36" s="24"/>
      <c r="E36" s="24"/>
      <c r="F36" s="24"/>
      <c r="G36" s="24"/>
      <c r="H36" s="24"/>
    </row>
    <row r="38" customFormat="false" ht="36" hidden="false" customHeight="true" outlineLevel="0" collapsed="false">
      <c r="A38" s="28" t="s">
        <v>224</v>
      </c>
      <c r="B38" s="28" t="s">
        <v>225</v>
      </c>
      <c r="C38" s="28" t="s">
        <v>226</v>
      </c>
      <c r="D38" s="28" t="s">
        <v>227</v>
      </c>
      <c r="E38" s="28" t="s">
        <v>228</v>
      </c>
      <c r="F38" s="28" t="s">
        <v>229</v>
      </c>
      <c r="G38" s="28" t="s">
        <v>230</v>
      </c>
      <c r="H38" s="28" t="s">
        <v>219</v>
      </c>
    </row>
    <row r="39" customFormat="false" ht="24" hidden="false" customHeight="true" outlineLevel="0" collapsed="false">
      <c r="A39" s="29"/>
      <c r="B39" s="29"/>
      <c r="C39" s="29"/>
      <c r="D39" s="29"/>
      <c r="E39" s="29"/>
      <c r="F39" s="29"/>
      <c r="G39" s="29"/>
      <c r="H39" s="29"/>
    </row>
    <row r="40" customFormat="false" ht="24" hidden="false" customHeight="true" outlineLevel="0" collapsed="false">
      <c r="A40" s="29"/>
      <c r="B40" s="29"/>
      <c r="C40" s="29"/>
      <c r="D40" s="29"/>
      <c r="E40" s="29"/>
      <c r="F40" s="29"/>
      <c r="G40" s="29"/>
      <c r="H40" s="29"/>
    </row>
    <row r="41" customFormat="false" ht="24" hidden="false" customHeight="true" outlineLevel="0" collapsed="false">
      <c r="A41" s="29"/>
      <c r="B41" s="29"/>
      <c r="C41" s="29"/>
      <c r="D41" s="29"/>
      <c r="E41" s="29"/>
      <c r="F41" s="29"/>
      <c r="G41" s="29"/>
      <c r="H41" s="29"/>
    </row>
    <row r="42" customFormat="false" ht="24" hidden="false" customHeight="true" outlineLevel="0" collapsed="false">
      <c r="A42" s="29"/>
      <c r="B42" s="29"/>
      <c r="C42" s="29"/>
      <c r="D42" s="29"/>
      <c r="E42" s="29"/>
      <c r="F42" s="29"/>
      <c r="G42" s="29"/>
      <c r="H42" s="29"/>
    </row>
    <row r="43" customFormat="false" ht="24" hidden="false" customHeight="true" outlineLevel="0" collapsed="false">
      <c r="A43" s="29"/>
      <c r="B43" s="29"/>
      <c r="C43" s="29"/>
      <c r="D43" s="29"/>
      <c r="E43" s="29"/>
      <c r="F43" s="29"/>
      <c r="G43" s="29"/>
      <c r="H43" s="29"/>
    </row>
    <row r="44" customFormat="false" ht="24" hidden="false" customHeight="true" outlineLevel="0" collapsed="false">
      <c r="A44" s="29"/>
      <c r="B44" s="29"/>
      <c r="C44" s="29"/>
      <c r="D44" s="29"/>
      <c r="E44" s="29"/>
      <c r="F44" s="29"/>
      <c r="G44" s="29"/>
      <c r="H44" s="29"/>
    </row>
    <row r="45" customFormat="false" ht="24" hidden="false" customHeight="true" outlineLevel="0" collapsed="false">
      <c r="A45" s="29"/>
      <c r="B45" s="29"/>
      <c r="C45" s="29"/>
      <c r="D45" s="29"/>
      <c r="E45" s="29"/>
      <c r="F45" s="29"/>
      <c r="G45" s="29"/>
      <c r="H45" s="29"/>
    </row>
    <row r="46" customFormat="false" ht="24" hidden="false" customHeight="true" outlineLevel="0" collapsed="false">
      <c r="A46" s="29"/>
      <c r="B46" s="29"/>
      <c r="C46" s="29"/>
      <c r="D46" s="29"/>
      <c r="E46" s="29"/>
      <c r="F46" s="29"/>
      <c r="G46" s="29"/>
      <c r="H46" s="29"/>
    </row>
    <row r="48" customFormat="false" ht="49.5" hidden="false" customHeight="true" outlineLevel="0" collapsed="false">
      <c r="A48" s="30" t="s">
        <v>231</v>
      </c>
      <c r="B48" s="30"/>
      <c r="C48" s="30"/>
      <c r="D48" s="30"/>
      <c r="E48" s="30"/>
      <c r="F48" s="30"/>
      <c r="G48" s="30"/>
      <c r="H48" s="30"/>
    </row>
    <row r="49" customFormat="false" ht="15" hidden="false" customHeight="false" outlineLevel="0" collapsed="false">
      <c r="A49" s="31" t="s">
        <v>232</v>
      </c>
      <c r="B49" s="26"/>
      <c r="C49" s="26"/>
      <c r="D49" s="26"/>
      <c r="E49" s="26"/>
      <c r="F49" s="26"/>
      <c r="G49" s="26"/>
      <c r="H49" s="26"/>
    </row>
    <row r="51" customFormat="false" ht="21.75" hidden="false" customHeight="true" outlineLevel="0" collapsed="false">
      <c r="A51" s="23" t="s">
        <v>233</v>
      </c>
      <c r="B51" s="23"/>
      <c r="C51" s="23"/>
      <c r="D51" s="23"/>
      <c r="E51" s="23"/>
      <c r="F51" s="23"/>
      <c r="G51" s="23"/>
      <c r="H51" s="23"/>
    </row>
    <row r="52" customFormat="false" ht="99.75" hidden="false" customHeight="true" outlineLevel="0" collapsed="false">
      <c r="A52" s="24" t="s">
        <v>234</v>
      </c>
      <c r="B52" s="24"/>
      <c r="C52" s="24"/>
      <c r="D52" s="24"/>
      <c r="E52" s="24"/>
      <c r="F52" s="24"/>
      <c r="G52" s="24"/>
      <c r="H52" s="24"/>
    </row>
    <row r="54" customFormat="false" ht="21.75" hidden="false" customHeight="true" outlineLevel="0" collapsed="false">
      <c r="A54" s="25" t="s">
        <v>235</v>
      </c>
      <c r="B54" s="26"/>
      <c r="C54" s="26"/>
      <c r="D54" s="26"/>
      <c r="E54" s="26"/>
      <c r="F54" s="26"/>
      <c r="G54" s="26"/>
      <c r="H54" s="26"/>
    </row>
    <row r="55" customFormat="false" ht="21.75" hidden="false" customHeight="true" outlineLevel="0" collapsed="false">
      <c r="A55" s="25" t="s">
        <v>236</v>
      </c>
      <c r="B55" s="26"/>
      <c r="C55" s="26"/>
      <c r="D55" s="26"/>
      <c r="E55" s="26"/>
      <c r="F55" s="26"/>
      <c r="G55" s="26"/>
      <c r="H55" s="26"/>
    </row>
    <row r="56" customFormat="false" ht="21.75" hidden="false" customHeight="true" outlineLevel="0" collapsed="false">
      <c r="A56" s="25" t="s">
        <v>237</v>
      </c>
      <c r="B56" s="26"/>
      <c r="C56" s="26"/>
      <c r="D56" s="26"/>
      <c r="E56" s="26"/>
      <c r="F56" s="26"/>
      <c r="G56" s="26"/>
      <c r="H56" s="26"/>
    </row>
    <row r="57" customFormat="false" ht="21.75" hidden="false" customHeight="true" outlineLevel="0" collapsed="false">
      <c r="A57" s="25" t="s">
        <v>238</v>
      </c>
      <c r="B57" s="26"/>
      <c r="C57" s="26"/>
      <c r="D57" s="26"/>
      <c r="E57" s="26"/>
      <c r="F57" s="26"/>
      <c r="G57" s="26"/>
      <c r="H57" s="26"/>
    </row>
    <row r="58" customFormat="false" ht="30" hidden="false" customHeight="true" outlineLevel="0" collapsed="false">
      <c r="A58" s="25" t="s">
        <v>239</v>
      </c>
      <c r="B58" s="26"/>
      <c r="C58" s="26"/>
      <c r="D58" s="26"/>
      <c r="E58" s="26"/>
      <c r="F58" s="26"/>
      <c r="G58" s="26"/>
      <c r="H58" s="26"/>
    </row>
    <row r="60" customFormat="false" ht="21.75" hidden="false" customHeight="true" outlineLevel="0" collapsed="false">
      <c r="A60" s="23" t="s">
        <v>240</v>
      </c>
      <c r="B60" s="23"/>
      <c r="C60" s="23"/>
      <c r="D60" s="23"/>
      <c r="E60" s="23"/>
      <c r="F60" s="23"/>
      <c r="G60" s="23"/>
      <c r="H60" s="23"/>
    </row>
    <row r="61" customFormat="false" ht="21.75" hidden="false" customHeight="true" outlineLevel="0" collapsed="false">
      <c r="A61" s="25" t="s">
        <v>241</v>
      </c>
      <c r="B61" s="26"/>
      <c r="C61" s="26"/>
      <c r="D61" s="26"/>
      <c r="E61" s="26"/>
      <c r="F61" s="26"/>
      <c r="G61" s="26"/>
      <c r="H61" s="26"/>
    </row>
    <row r="62" customFormat="false" ht="21.75" hidden="false" customHeight="true" outlineLevel="0" collapsed="false">
      <c r="A62" s="25" t="s">
        <v>155</v>
      </c>
      <c r="B62" s="26"/>
      <c r="C62" s="26"/>
      <c r="D62" s="26"/>
      <c r="E62" s="26"/>
      <c r="F62" s="26"/>
      <c r="G62" s="26"/>
      <c r="H62" s="26"/>
    </row>
    <row r="63" customFormat="false" ht="21.75" hidden="false" customHeight="true" outlineLevel="0" collapsed="false">
      <c r="A63" s="25" t="s">
        <v>242</v>
      </c>
      <c r="B63" s="26"/>
      <c r="C63" s="26"/>
      <c r="D63" s="26"/>
      <c r="E63" s="26"/>
      <c r="F63" s="26"/>
      <c r="G63" s="26"/>
      <c r="H63" s="26"/>
    </row>
    <row r="64" customFormat="false" ht="21.75" hidden="false" customHeight="true" outlineLevel="0" collapsed="false">
      <c r="A64" s="25" t="s">
        <v>157</v>
      </c>
      <c r="B64" s="26"/>
      <c r="C64" s="26"/>
      <c r="D64" s="26"/>
      <c r="E64" s="26"/>
      <c r="F64" s="26"/>
      <c r="G64" s="26"/>
      <c r="H64" s="26"/>
    </row>
    <row r="65" customFormat="false" ht="21.75" hidden="false" customHeight="true" outlineLevel="0" collapsed="false">
      <c r="A65" s="25" t="s">
        <v>243</v>
      </c>
      <c r="B65" s="26"/>
      <c r="C65" s="26"/>
      <c r="D65" s="26"/>
      <c r="E65" s="26"/>
      <c r="F65" s="26"/>
      <c r="G65" s="26"/>
      <c r="H65" s="26"/>
    </row>
    <row r="66" customFormat="false" ht="21.75" hidden="false" customHeight="true" outlineLevel="0" collapsed="false">
      <c r="A66" s="25" t="s">
        <v>244</v>
      </c>
      <c r="B66" s="26"/>
      <c r="C66" s="26"/>
      <c r="D66" s="26"/>
      <c r="E66" s="26"/>
      <c r="F66" s="26"/>
      <c r="G66" s="26"/>
      <c r="H66" s="26"/>
    </row>
    <row r="68" customFormat="false" ht="79.5" hidden="false" customHeight="true" outlineLevel="0" collapsed="false">
      <c r="A68" s="27" t="s">
        <v>245</v>
      </c>
      <c r="B68" s="27"/>
      <c r="C68" s="27"/>
      <c r="D68" s="27"/>
      <c r="E68" s="27"/>
      <c r="F68" s="27"/>
      <c r="G68" s="27"/>
      <c r="H68" s="27"/>
    </row>
  </sheetData>
  <mergeCells count="37">
    <mergeCell ref="A1:H1"/>
    <mergeCell ref="A2:H2"/>
    <mergeCell ref="A3:H3"/>
    <mergeCell ref="A5:H5"/>
    <mergeCell ref="A6:H6"/>
    <mergeCell ref="A8:H8"/>
    <mergeCell ref="B9:H9"/>
    <mergeCell ref="B10:H10"/>
    <mergeCell ref="B11:H11"/>
    <mergeCell ref="B12:H12"/>
    <mergeCell ref="B13:H13"/>
    <mergeCell ref="B14:H14"/>
    <mergeCell ref="B15:H15"/>
    <mergeCell ref="A17:H17"/>
    <mergeCell ref="A18:H18"/>
    <mergeCell ref="A20:H20"/>
    <mergeCell ref="A32:H32"/>
    <mergeCell ref="B33:H33"/>
    <mergeCell ref="A35:H35"/>
    <mergeCell ref="A36:H36"/>
    <mergeCell ref="A48:H48"/>
    <mergeCell ref="B49:H49"/>
    <mergeCell ref="A51:H51"/>
    <mergeCell ref="A52:H52"/>
    <mergeCell ref="B54:H54"/>
    <mergeCell ref="B55:H55"/>
    <mergeCell ref="B56:H56"/>
    <mergeCell ref="B57:H57"/>
    <mergeCell ref="B58:H58"/>
    <mergeCell ref="A60:H60"/>
    <mergeCell ref="B61:H61"/>
    <mergeCell ref="B62:H62"/>
    <mergeCell ref="B63:H63"/>
    <mergeCell ref="B64:H64"/>
    <mergeCell ref="B65:H65"/>
    <mergeCell ref="B66:H66"/>
    <mergeCell ref="A68:H68"/>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Appendix_J_Evaluation_Methodology&amp;R&amp;"Arial,Regular"&amp;9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2026-03-20T15:00:57Z</dcterms:created>
  <dc:creator>openpyxl</dc:creator>
  <dc:description/>
  <dc:language>en-US</dc:language>
  <cp:lastModifiedBy>Brett Butz</cp:lastModifiedBy>
  <dcterms:modified xsi:type="dcterms:W3CDTF">2026-07-10T00:18:26Z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