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pacity Assessment" sheetId="1" state="visible" r:id="rId3"/>
    <sheet name="Readiness Scale"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Draft 1: "SCDES AI Governance Framework — Final, May 2026 ..." -&gt; conformed to RULE-09 title/date string (LD-1). Adoption date blank RESERVED for Brett.</t>
        </r>
      </text>
    </comment>
    <comment ref="A3" authorId="0">
      <text>
        <r>
          <rPr>
            <sz val="10"/>
            <rFont val="Arial"/>
            <family val="2"/>
          </rPr>
          <t xml:space="preserve">Draft 1 cited "Part III (Execution Roadmap), Section 6, Section 15 | Appendix D/H/J". Part III deleted (no such structure, BR-1); Section 15 -&gt; Section 5 change-management capacity (BR-2, framework 5); appendices re-anchored to Operations Manual per RULE-12 (App D/H/J are OM appendices, not framework; BR-3/4/5); Section 6 resolves and retained; SD-3.</t>
        </r>
      </text>
    </comment>
    <comment ref="A4" authorId="0">
      <text>
        <r>
          <rPr>
            <sz val="10"/>
            <rFont val="Arial"/>
            <family val="2"/>
          </rPr>
          <t xml:space="preserve">Draft 1: "the agency's" -&gt; "the Agency's" per framework 1 defined term (LD-5). Final sentence claimed placement in a framework "appendix listing" that does not exist (RULE-12; signed framework has no appendices) -&gt; replaced with placement flag (SD-2; FC-4 Council-only). Administration/biennial cadence retained unchanged as Uncertain (UC-1).</t>
        </r>
      </text>
    </comment>
    <comment ref="A10" authorId="0">
      <text>
        <r>
          <rPr>
            <sz val="10"/>
            <rFont val="Arial"/>
            <family val="2"/>
          </rPr>
          <t xml:space="preserve">Draft 1: "Target Phase (per Part III Roadmap):" -&gt; removed broken "Part III Roadmap" reference (no Part III in signed framework; BR-6). "Target Phase"/phase vocabulary itself reserved — no framework referent (UC-3), retained.</t>
        </r>
      </text>
    </comment>
    <comment ref="C15" authorId="0">
      <text>
        <r>
          <rPr>
            <sz val="10"/>
            <rFont val="Arial"/>
            <family val="2"/>
          </rPr>
          <t xml:space="preserve">Draft 1: "AI Governance Council (or equivalent)..." -&gt; removed "(or equivalent)"; framework 6.1 establishes THE AI Governance Council, no equivalent (LD-2).</t>
        </r>
      </text>
    </comment>
    <comment ref="C18" authorId="0">
      <text>
        <r>
          <rPr>
            <sz val="10"/>
            <rFont val="Arial"/>
            <family val="2"/>
          </rPr>
          <t xml:space="preserve">Draft 1: "per Section 15" -&gt; no framework 15; change-management capacity is named in framework 5 (BR-7).</t>
        </r>
      </text>
    </comment>
    <comment ref="C26" authorId="0">
      <text>
        <r>
          <rPr>
            <sz val="10"/>
            <rFont val="Arial"/>
            <family val="2"/>
          </rPr>
          <t xml:space="preserve">Draft 1: "per Section 16" -&gt; no framework 16; ongoing monitoring at framework 6.1 and 10A, procedures in the Operations Manual (BR-8; RULE-11).</t>
        </r>
      </text>
    </comment>
    <comment ref="C31" authorId="0">
      <text>
        <r>
          <rPr>
            <sz val="10"/>
            <rFont val="Arial"/>
            <family val="2"/>
          </rPr>
          <t xml:space="preserve">Draft 1: "per Section 8" -&gt; framework 8 states data-quality importance but package contents/procedures are delegated to the Operations Manual (UC-6; RULE-11).</t>
        </r>
      </text>
    </comment>
    <comment ref="C33" authorId="0">
      <text>
        <r>
          <rPr>
            <sz val="10"/>
            <rFont val="Arial"/>
            <family val="2"/>
          </rPr>
          <t xml:space="preserve">Draft 1: "(EPA, state agencies)" -&gt; "USEPA" per framework 3 canonical federal-agency naming (LD-4).</t>
        </r>
      </text>
    </comment>
    <comment ref="C40" authorId="0">
      <text>
        <r>
          <rPr>
            <sz val="10"/>
            <rFont val="Arial"/>
            <family val="2"/>
          </rPr>
          <t xml:space="preserve">Draft 1: "exercise human oversight" -&gt; canonical framework 4 "Human Accountability" / "human review" (LD-3).</t>
        </r>
      </text>
    </comment>
    <comment ref="C42" authorId="0">
      <text>
        <r>
          <rPr>
            <sz val="10"/>
            <rFont val="Arial"/>
            <family val="2"/>
          </rPr>
          <t xml:space="preserve">Draft 1: "per Section 15 change management requirements" -&gt; no framework 15; training-requirements authority sits at framework 6B (BR-9).</t>
        </r>
      </text>
    </comment>
    <comment ref="C46" authorId="0">
      <text>
        <r>
          <rPr>
            <sz val="10"/>
            <rFont val="Arial"/>
            <family val="2"/>
          </rPr>
          <t xml:space="preserve">Draft 1: "per Section 11" -&gt; framework 11 is Incident Response; intake/category identification is framework 5 (BR-10; re-pointing map framework 11 Project Intake -&gt; 5).</t>
        </r>
      </text>
    </comment>
    <comment ref="C48" authorId="0">
      <text>
        <r>
          <rPr>
            <sz val="10"/>
            <rFont val="Arial"/>
            <family val="2"/>
          </rPr>
          <t xml:space="preserve">Draft 1: "per Section 19A" -&gt; no framework 19A; AI incident response protocol is framework 11 (BR-11; re-pointing map 19A -&gt; 11).</t>
        </r>
      </text>
    </comment>
    <comment ref="C49" authorId="0">
      <text>
        <r>
          <rPr>
            <sz val="10"/>
            <rFont val="Arial"/>
            <family val="2"/>
          </rPr>
          <t xml:space="preserve">Draft 1: "per Section 17 (Required Documentation)" -&gt; no framework 17; documentation/retention actuals are framework 8 (data package), 10 (administrative record), 12 (retention) (BR-12). Section 6.1 citation resolves, retained.</t>
        </r>
      </text>
    </comment>
    <comment ref="C51" authorId="0">
      <text>
        <r>
          <rPr>
            <sz val="10"/>
            <rFont val="Arial"/>
            <family val="2"/>
          </rPr>
          <t xml:space="preserve">Draft 1: "ADA Title II, Section 508" omitted Section 504; framework 4/10B name "Title II of the ADA, Section 504 and Section 508 of the Rehabilitation Act" (LD-6).</t>
        </r>
      </text>
    </comment>
    <comment ref="E23" authorId="0">
      <text>
        <r>
          <rPr>
            <sz val="10"/>
            <rFont val="Arial"/>
            <family val="2"/>
          </rPr>
          <t xml:space="preserve">Draft 1: "Appendix D (Data Readiness Assessment)" -&gt; re-anchored to Operations Manual appendix scheme per RULE-12 (BR-13); signed framework has no appendices.</t>
        </r>
      </text>
    </comment>
  </commentList>
</comments>
</file>

<file path=xl/sharedStrings.xml><?xml version="1.0" encoding="utf-8"?>
<sst xmlns="http://schemas.openxmlformats.org/spreadsheetml/2006/main" count="191" uniqueCount="165">
  <si>
    <t xml:space="preserve">SCDES AI INSTITUTIONAL READINESS AND CAPACITY ASSESSMENT</t>
  </si>
  <si>
    <t xml:space="preserve">SCDES Enterprise Artificial Intelligence Governance Framework, adopted __________, 2026  |  Five-dimension organizational readiness evaluation administered by the AI Governance Council</t>
  </si>
  <si>
    <t xml:space="preserve">Framework Reference: Section 5 (Authorized Use Case Structure — capacity demonstration), Section 6 (Governance Structure)  |  Related: SCDES AI Operations Manual, Appendix D (Data Readiness Assessment), Appendix H (Gate Review Checklists), Appendix J (Evaluation Methodology)</t>
  </si>
  <si>
    <t xml:space="preserve">PURPOSE: This internal SCDES capacity assessment is administered by the AI Governance Council at framework adoption and at minimum every two (2) years thereafter to evaluate the Agency's institutional readiness across five dimensions and identify remediation priorities. [Placement pending: the signed framework contains no appendices (per RULE-12); candidate SCDES AI Operations Manual artifact — AI Strategist/Council confirmation required.]</t>
  </si>
  <si>
    <t xml:space="preserve">AGENCY INFORMATION</t>
  </si>
  <si>
    <t xml:space="preserve">Agency:</t>
  </si>
  <si>
    <t xml:space="preserve">South Carolina Department of Environmental Services (SCDES)</t>
  </si>
  <si>
    <t xml:space="preserve">Assessment Date:</t>
  </si>
  <si>
    <t xml:space="preserve">Assessment Lead:</t>
  </si>
  <si>
    <t xml:space="preserve">Executive Sponsor:</t>
  </si>
  <si>
    <t xml:space="preserve">Target Phase:</t>
  </si>
  <si>
    <t xml:space="preserve">DIMENSION 1: LEADERSHIP &amp; GOVERNANCE READINESS (Weight: 20%)</t>
  </si>
  <si>
    <t xml:space="preserve">#</t>
  </si>
  <si>
    <t xml:space="preserve">Assessment Factor</t>
  </si>
  <si>
    <t xml:space="preserve">What to Look For</t>
  </si>
  <si>
    <t xml:space="preserve">Score (1-5)</t>
  </si>
  <si>
    <t xml:space="preserve">Evidence Required</t>
  </si>
  <si>
    <t xml:space="preserve">Notes / Gaps</t>
  </si>
  <si>
    <t xml:space="preserve">1.1</t>
  </si>
  <si>
    <t xml:space="preserve">Executive sponsorship</t>
  </si>
  <si>
    <t xml:space="preserve">Named executive champion with authority to allocate resources and make binding decisions</t>
  </si>
  <si>
    <t xml:space="preserve">Signed charter or memo</t>
  </si>
  <si>
    <t xml:space="preserve">1.2</t>
  </si>
  <si>
    <t xml:space="preserve">Governance body established or planned</t>
  </si>
  <si>
    <t xml:space="preserve">AI Governance Council with defined membership, charter, and meeting cadence per Section 6.1</t>
  </si>
  <si>
    <t xml:space="preserve">Council charter, membership list</t>
  </si>
  <si>
    <t xml:space="preserve">1.3</t>
  </si>
  <si>
    <t xml:space="preserve">Risk appetite defined</t>
  </si>
  <si>
    <t xml:space="preserve">Agency leadership has articulated risk tolerance for AI in regulatory vs. internal operations</t>
  </si>
  <si>
    <t xml:space="preserve">Risk appetite statement or policy memo</t>
  </si>
  <si>
    <t xml:space="preserve">1.4</t>
  </si>
  <si>
    <t xml:space="preserve">Legal counsel engagement</t>
  </si>
  <si>
    <t xml:space="preserve">General Counsel aware of AI governance requirements and available for project-level review per Section 9</t>
  </si>
  <si>
    <t xml:space="preserve">Confirmation from GC office</t>
  </si>
  <si>
    <t xml:space="preserve">1.5</t>
  </si>
  <si>
    <t xml:space="preserve">Change management readiness</t>
  </si>
  <si>
    <t xml:space="preserve">Leadership willing to invest in training, communication, and cultural adaptation per Section 5 (capacity demonstration)</t>
  </si>
  <si>
    <t xml:space="preserve">Change management plan or commitment</t>
  </si>
  <si>
    <t xml:space="preserve">DIMENSION 2: TECHNICAL INFRASTRUCTURE (Weight: 20%)</t>
  </si>
  <si>
    <t xml:space="preserve">2.1</t>
  </si>
  <si>
    <t xml:space="preserve">IT infrastructure maturity</t>
  </si>
  <si>
    <t xml:space="preserve">Stable network, server/cloud capacity, and development environments sufficient for AI workloads</t>
  </si>
  <si>
    <t xml:space="preserve">IT infrastructure assessment</t>
  </si>
  <si>
    <t xml:space="preserve">2.2</t>
  </si>
  <si>
    <t xml:space="preserve">Data infrastructure</t>
  </si>
  <si>
    <t xml:space="preserve">Centralized or federated data systems with documented schemas, APIs, or extraction processes</t>
  </si>
  <si>
    <t xml:space="preserve">SCDES AI Operations Manual, Appendix D (Data Readiness Assessment)</t>
  </si>
  <si>
    <t xml:space="preserve">2.3</t>
  </si>
  <si>
    <t xml:space="preserve">Security controls</t>
  </si>
  <si>
    <t xml:space="preserve">Existing cybersecurity framework (NIST CSF, SC state requirements) with capacity to extend to AI systems</t>
  </si>
  <si>
    <t xml:space="preserve">Security assessment / ATO process</t>
  </si>
  <si>
    <t xml:space="preserve">2.4</t>
  </si>
  <si>
    <t xml:space="preserve">Development/testing environments</t>
  </si>
  <si>
    <t xml:space="preserve">Ability to stand up sandbox or pilot environments isolated from production</t>
  </si>
  <si>
    <t xml:space="preserve">Environment inventory</t>
  </si>
  <si>
    <t xml:space="preserve">2.5</t>
  </si>
  <si>
    <t xml:space="preserve">Monitoring and logging capability</t>
  </si>
  <si>
    <t xml:space="preserve">Infrastructure to monitor system performance, log decisions, and detect anomalies per Sections 6.1 and 10A and the SCDES AI Operations Manual</t>
  </si>
  <si>
    <t xml:space="preserve">Monitoring tool inventory</t>
  </si>
  <si>
    <t xml:space="preserve">DIMENSION 3: DATA READINESS (Weight: 20%)</t>
  </si>
  <si>
    <t xml:space="preserve">3.1</t>
  </si>
  <si>
    <t xml:space="preserve">Data inventory and cataloging</t>
  </si>
  <si>
    <t xml:space="preserve">Agency maintains a data catalog or inventory of key datasets, including ownership and classification</t>
  </si>
  <si>
    <t xml:space="preserve">Data catalog or inventory list</t>
  </si>
  <si>
    <t xml:space="preserve">3.2</t>
  </si>
  <si>
    <t xml:space="preserve">Data quality management</t>
  </si>
  <si>
    <t xml:space="preserve">Established data quality standards, validation processes, and remediation procedures per Section 8 and the SCDES AI Operations Manual</t>
  </si>
  <si>
    <t xml:space="preserve">Data quality reports or procedures</t>
  </si>
  <si>
    <t xml:space="preserve">3.3</t>
  </si>
  <si>
    <t xml:space="preserve">Data governance policies</t>
  </si>
  <si>
    <t xml:space="preserve">Data governance framework with defined ownership, stewardship, retention, and access controls</t>
  </si>
  <si>
    <t xml:space="preserve">Data governance policy document</t>
  </si>
  <si>
    <t xml:space="preserve">3.4</t>
  </si>
  <si>
    <t xml:space="preserve">Data interoperability</t>
  </si>
  <si>
    <t xml:space="preserve">Ability to combine data across systems, bureaus, or with external sources (USEPA, state agencies)</t>
  </si>
  <si>
    <t xml:space="preserve">Integration documentation or APIs</t>
  </si>
  <si>
    <t xml:space="preserve">3.5</t>
  </si>
  <si>
    <t xml:space="preserve">Data privacy and security classification</t>
  </si>
  <si>
    <t xml:space="preserve">All candidate AI datasets classified per sensitivity, with appropriate access controls and legal authority for use</t>
  </si>
  <si>
    <t xml:space="preserve">Classification matrix, legal memos</t>
  </si>
  <si>
    <t xml:space="preserve">DIMENSION 4: WORKFORCE &amp; SKILLS (Weight: 20%)</t>
  </si>
  <si>
    <t xml:space="preserve">4.1</t>
  </si>
  <si>
    <t xml:space="preserve">AI literacy across leadership</t>
  </si>
  <si>
    <t xml:space="preserve">Senior leaders can articulate what AI is, what it is not, and where it fits in agency operations</t>
  </si>
  <si>
    <t xml:space="preserve">Training records or briefing materials</t>
  </si>
  <si>
    <t xml:space="preserve">4.2</t>
  </si>
  <si>
    <t xml:space="preserve">Technical staff capability</t>
  </si>
  <si>
    <t xml:space="preserve">IT/data staff with skills to evaluate, configure, monitor, and maintain AI systems (not necessarily build them)</t>
  </si>
  <si>
    <t xml:space="preserve">Staff skills inventory</t>
  </si>
  <si>
    <t xml:space="preserve">4.3</t>
  </si>
  <si>
    <t xml:space="preserve">Program staff readiness</t>
  </si>
  <si>
    <t xml:space="preserve">Operational staff prepared to work alongside AI tools, understand limitations, and exercise human review consistent with the Human Accountability principle (Section 4)</t>
  </si>
  <si>
    <t xml:space="preserve">Training needs assessment</t>
  </si>
  <si>
    <t xml:space="preserve">4.4</t>
  </si>
  <si>
    <t xml:space="preserve">Vendor management capability</t>
  </si>
  <si>
    <t xml:space="preserve">Procurement and contract staff understand AI-specific contract provisions per Section 8A</t>
  </si>
  <si>
    <t xml:space="preserve">Procurement training records</t>
  </si>
  <si>
    <t xml:space="preserve">4.5</t>
  </si>
  <si>
    <t xml:space="preserve">Training program capacity</t>
  </si>
  <si>
    <t xml:space="preserve">Ability to develop and deliver AI-specific training per Section 6B (training requirements authority)</t>
  </si>
  <si>
    <t xml:space="preserve">Training program plan or capacity assessment</t>
  </si>
  <si>
    <t xml:space="preserve">DIMENSION 5: PROCESS &amp; POLICY MATURITY (Weight: 20%)</t>
  </si>
  <si>
    <t xml:space="preserve">5.1</t>
  </si>
  <si>
    <t xml:space="preserve">Project intake and prioritization</t>
  </si>
  <si>
    <t xml:space="preserve">Existing process for evaluating and prioritizing technology projects that can be adapted for AI per Section 5 (category identification at intake)</t>
  </si>
  <si>
    <t xml:space="preserve">Intake process documentation</t>
  </si>
  <si>
    <t xml:space="preserve">5.2</t>
  </si>
  <si>
    <t xml:space="preserve">Procurement process maturity</t>
  </si>
  <si>
    <t xml:space="preserve">Procurement cycle supports AI-specific requirements (disclosure questionnaires, model documentation, performance clauses)</t>
  </si>
  <si>
    <t xml:space="preserve">Procurement policy or recent AI procurement</t>
  </si>
  <si>
    <t xml:space="preserve">5.3</t>
  </si>
  <si>
    <t xml:space="preserve">Incident response capability</t>
  </si>
  <si>
    <t xml:space="preserve">Established incident response procedures that can extend to AI-specific scenarios per Section 11</t>
  </si>
  <si>
    <t xml:space="preserve">IR plan or tabletop exercise records</t>
  </si>
  <si>
    <t xml:space="preserve">5.4</t>
  </si>
  <si>
    <t xml:space="preserve">Audit and compliance infrastructure</t>
  </si>
  <si>
    <t xml:space="preserve">Internal audit function or external audit process capable of reviewing AI systems per Sections 8, 10, and 12 (documentation and retention) and Section 6.1 (AI Governance Council oversight)</t>
  </si>
  <si>
    <t xml:space="preserve">Audit charter or recent audit reports</t>
  </si>
  <si>
    <t xml:space="preserve">5.5</t>
  </si>
  <si>
    <t xml:space="preserve">Stakeholder engagement mechanisms</t>
  </si>
  <si>
    <t xml:space="preserve">Channels for public input, legislative communication, and inter-agency coordination</t>
  </si>
  <si>
    <t xml:space="preserve">Public comment process, legislative liaison</t>
  </si>
  <si>
    <t xml:space="preserve">5.6</t>
  </si>
  <si>
    <t xml:space="preserve">Accessibility compliance posture</t>
  </si>
  <si>
    <t xml:space="preserve">Current compliance with Title II of the ADA, Section 504 and Section 508 of the Rehabilitation Act for existing digital services per Section 10B</t>
  </si>
  <si>
    <t xml:space="preserve">Accessibility audit or VPAT inventory</t>
  </si>
  <si>
    <t xml:space="preserve">COMPOSITE READINESS SCORE</t>
  </si>
  <si>
    <t xml:space="preserve">Dimension 1: Leadership &amp; Governance (20%)</t>
  </si>
  <si>
    <t xml:space="preserve">Dimension 2: Technical Infrastructure (20%)</t>
  </si>
  <si>
    <t xml:space="preserve">Dimension 3: Data Readiness (20%)</t>
  </si>
  <si>
    <t xml:space="preserve">Dimension 4: Workforce &amp; Skills (20%)</t>
  </si>
  <si>
    <t xml:space="preserve">Dimension 5: Process &amp; Policy Maturity (20%)</t>
  </si>
  <si>
    <t xml:space="preserve">READINESS DETERMINATION</t>
  </si>
  <si>
    <t xml:space="preserve">PRIORITY REMEDIATION PLAN</t>
  </si>
  <si>
    <t xml:space="preserve">Priority</t>
  </si>
  <si>
    <t xml:space="preserve">Gap / Weakness</t>
  </si>
  <si>
    <t xml:space="preserve">Required Action</t>
  </si>
  <si>
    <t xml:space="preserve">Owner</t>
  </si>
  <si>
    <t xml:space="preserve">Target Date</t>
  </si>
  <si>
    <t xml:space="preserve">Status</t>
  </si>
  <si>
    <t xml:space="preserve">ASSESSMENT SIGN-OFF</t>
  </si>
  <si>
    <t xml:space="preserve">Assessment Lead (Name/Title):</t>
  </si>
  <si>
    <t xml:space="preserve">Date:</t>
  </si>
  <si>
    <t xml:space="preserve">Executive Sponsor Concurrence:</t>
  </si>
  <si>
    <t xml:space="preserve">Recommended Next Step:</t>
  </si>
  <si>
    <t xml:space="preserve">READINESS SCORING SCALE</t>
  </si>
  <si>
    <t xml:space="preserve">5 — Fully Ready</t>
  </si>
  <si>
    <t xml:space="preserve">Capability is mature, documented, resourced, and operational. No gaps. Could serve as a model for other agencies.</t>
  </si>
  <si>
    <t xml:space="preserve">4 — Mostly Ready</t>
  </si>
  <si>
    <t xml:space="preserve">Capability exists and is functional with minor gaps. Can proceed with AI implementation with minimal additional investment.</t>
  </si>
  <si>
    <t xml:space="preserve">3 — Partially Ready</t>
  </si>
  <si>
    <t xml:space="preserve">Foundation exists but significant gaps remain. Can begin AI planning (Phases 1-2) but must address gaps before pilot deployment.</t>
  </si>
  <si>
    <t xml:space="preserve">2 — Early Stage</t>
  </si>
  <si>
    <t xml:space="preserve">Some elements in place but capability is immature. Requires substantial investment before AI program can proceed beyond concept stage.</t>
  </si>
  <si>
    <t xml:space="preserve">1 — Not Ready</t>
  </si>
  <si>
    <t xml:space="preserve">Capability does not exist or is fundamentally inadequate. Must establish basic prerequisites before any AI activity.</t>
  </si>
  <si>
    <t xml:space="preserve">READINESS DETERMINATION THRESHOLDS</t>
  </si>
  <si>
    <t xml:space="preserve">4.0 – 5.0: READY</t>
  </si>
  <si>
    <t xml:space="preserve">Agency can proceed to Phase 1 (Mobilization). No blocking gaps.</t>
  </si>
  <si>
    <t xml:space="preserve">3.0 – 3.9: CONDITIONALLY READY</t>
  </si>
  <si>
    <t xml:space="preserve">Agency can begin Phases 1-2 but must remediate gaps before Phase 3 (Use Case Development). Remediation plan required.</t>
  </si>
  <si>
    <t xml:space="preserve">2.0 – 2.9: NOT READY</t>
  </si>
  <si>
    <t xml:space="preserve">Agency needs significant preparation. Focus on remediation plan before attempting framework implementation.</t>
  </si>
  <si>
    <t xml:space="preserve">1.0 – 1.9: FOUNDATIONAL</t>
  </si>
  <si>
    <t xml:space="preserve">Basic organizational prerequisites (data governance, IT infrastructure, leadership buy-in) must be established first.</t>
  </si>
</sst>
</file>

<file path=xl/styles.xml><?xml version="1.0" encoding="utf-8"?>
<styleSheet xmlns="http://schemas.openxmlformats.org/spreadsheetml/2006/main">
  <numFmts count="2">
    <numFmt numFmtId="164" formatCode="General"/>
    <numFmt numFmtId="165" formatCode="0.00"/>
  </numFmts>
  <fonts count="14">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0"/>
      <color rgb="FF333333"/>
      <name val="Arial"/>
      <family val="0"/>
      <charset val="1"/>
    </font>
    <font>
      <sz val="9"/>
      <color rgb="FF666666"/>
      <name val="Arial"/>
      <family val="0"/>
      <charset val="1"/>
    </font>
    <font>
      <i val="true"/>
      <sz val="9"/>
      <color rgb="FF444444"/>
      <name val="Arial"/>
      <family val="0"/>
      <charset val="1"/>
    </font>
    <font>
      <b val="true"/>
      <sz val="11"/>
      <color rgb="FF1F4E79"/>
      <name val="Arial"/>
      <family val="0"/>
      <charset val="1"/>
    </font>
    <font>
      <b val="true"/>
      <sz val="10"/>
      <name val="Arial"/>
      <family val="0"/>
      <charset val="1"/>
    </font>
    <font>
      <b val="true"/>
      <sz val="10"/>
      <color rgb="FFFFFFFF"/>
      <name val="Arial"/>
      <family val="0"/>
      <charset val="1"/>
    </font>
    <font>
      <sz val="10"/>
      <name val="Arial"/>
      <family val="0"/>
      <charset val="1"/>
    </font>
    <font>
      <b val="true"/>
      <sz val="11"/>
      <name val="Arial"/>
      <family val="0"/>
      <charset val="1"/>
    </font>
    <font>
      <sz val="10"/>
      <name val="Arial"/>
      <family val="2"/>
    </font>
  </fonts>
  <fills count="4">
    <fill>
      <patternFill patternType="none"/>
    </fill>
    <fill>
      <patternFill patternType="gray125"/>
    </fill>
    <fill>
      <patternFill patternType="solid">
        <fgColor rgb="FFD6E4F0"/>
        <bgColor rgb="FFCCFFFF"/>
      </patternFill>
    </fill>
    <fill>
      <patternFill patternType="solid">
        <fgColor rgb="FF1F4E79"/>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444444"/>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3" min="3" style="1" width="50"/>
    <col collapsed="false" customWidth="true" hidden="false" outlineLevel="0" max="4" min="4" style="1" width="14"/>
    <col collapsed="false" customWidth="true" hidden="false" outlineLevel="0" max="5" min="5" style="1" width="32"/>
    <col collapsed="false" customWidth="true" hidden="false" outlineLevel="0" max="6" min="6" style="1" width="28"/>
  </cols>
  <sheetData>
    <row r="1" customFormat="false" ht="17.2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3" customFormat="false" ht="15" hidden="false" customHeight="true" outlineLevel="0" collapsed="false">
      <c r="A3" s="4" t="s">
        <v>2</v>
      </c>
      <c r="B3" s="4"/>
      <c r="C3" s="4"/>
      <c r="D3" s="4"/>
      <c r="E3" s="4"/>
      <c r="F3" s="4"/>
    </row>
    <row r="4" customFormat="false" ht="49.5" hidden="false" customHeight="true" outlineLevel="0" collapsed="false">
      <c r="A4" s="5" t="s">
        <v>3</v>
      </c>
    </row>
    <row r="5" customFormat="false" ht="15" hidden="false" customHeight="true" outlineLevel="0" collapsed="false">
      <c r="A5" s="6" t="s">
        <v>4</v>
      </c>
      <c r="B5" s="6"/>
      <c r="C5" s="6"/>
      <c r="D5" s="6"/>
      <c r="E5" s="6"/>
      <c r="F5" s="6"/>
    </row>
    <row r="6" customFormat="false" ht="15" hidden="false" customHeight="true" outlineLevel="0" collapsed="false">
      <c r="A6" s="7" t="s">
        <v>5</v>
      </c>
      <c r="B6" s="8" t="s">
        <v>6</v>
      </c>
      <c r="C6" s="8"/>
      <c r="D6" s="8"/>
      <c r="E6" s="8"/>
      <c r="F6" s="8"/>
    </row>
    <row r="7" customFormat="false" ht="15" hidden="false" customHeight="true" outlineLevel="0" collapsed="false">
      <c r="A7" s="7" t="s">
        <v>7</v>
      </c>
      <c r="B7" s="8"/>
      <c r="C7" s="8"/>
      <c r="D7" s="8"/>
      <c r="E7" s="8"/>
      <c r="F7" s="8"/>
    </row>
    <row r="8" customFormat="false" ht="15" hidden="false" customHeight="true" outlineLevel="0" collapsed="false">
      <c r="A8" s="7" t="s">
        <v>8</v>
      </c>
      <c r="B8" s="8"/>
      <c r="C8" s="8"/>
      <c r="D8" s="8"/>
      <c r="E8" s="8"/>
      <c r="F8" s="8"/>
    </row>
    <row r="9" customFormat="false" ht="15" hidden="false" customHeight="true" outlineLevel="0" collapsed="false">
      <c r="A9" s="7" t="s">
        <v>9</v>
      </c>
      <c r="B9" s="8"/>
      <c r="C9" s="8"/>
      <c r="D9" s="8"/>
      <c r="E9" s="8"/>
      <c r="F9" s="8"/>
    </row>
    <row r="10" customFormat="false" ht="15" hidden="false" customHeight="true" outlineLevel="0" collapsed="false">
      <c r="A10" s="7" t="s">
        <v>10</v>
      </c>
      <c r="B10" s="8"/>
      <c r="C10" s="8"/>
      <c r="D10" s="8"/>
      <c r="E10" s="8"/>
      <c r="F10" s="8"/>
    </row>
    <row r="12" customFormat="false" ht="15" hidden="false" customHeight="true" outlineLevel="0" collapsed="false">
      <c r="A12" s="6" t="s">
        <v>11</v>
      </c>
      <c r="B12" s="6"/>
      <c r="C12" s="6"/>
      <c r="D12" s="6"/>
      <c r="E12" s="6"/>
      <c r="F12" s="6"/>
    </row>
    <row r="13" customFormat="false" ht="15" hidden="false" customHeight="true" outlineLevel="0" collapsed="false">
      <c r="A13" s="9" t="s">
        <v>12</v>
      </c>
      <c r="B13" s="9" t="s">
        <v>13</v>
      </c>
      <c r="C13" s="9" t="s">
        <v>14</v>
      </c>
      <c r="D13" s="9" t="s">
        <v>15</v>
      </c>
      <c r="E13" s="9" t="s">
        <v>16</v>
      </c>
      <c r="F13" s="9" t="s">
        <v>17</v>
      </c>
    </row>
    <row r="14" customFormat="false" ht="23.25" hidden="false" customHeight="true" outlineLevel="0" collapsed="false">
      <c r="A14" s="10" t="s">
        <v>18</v>
      </c>
      <c r="B14" s="11" t="s">
        <v>19</v>
      </c>
      <c r="C14" s="12" t="s">
        <v>20</v>
      </c>
      <c r="D14" s="13"/>
      <c r="E14" s="14" t="s">
        <v>21</v>
      </c>
      <c r="F14" s="13"/>
    </row>
    <row r="15" customFormat="false" ht="23.25" hidden="false" customHeight="true" outlineLevel="0" collapsed="false">
      <c r="A15" s="10" t="s">
        <v>22</v>
      </c>
      <c r="B15" s="11" t="s">
        <v>23</v>
      </c>
      <c r="C15" s="12" t="s">
        <v>24</v>
      </c>
      <c r="D15" s="13"/>
      <c r="E15" s="14" t="s">
        <v>25</v>
      </c>
      <c r="F15" s="13"/>
    </row>
    <row r="16" customFormat="false" ht="23.25" hidden="false" customHeight="true" outlineLevel="0" collapsed="false">
      <c r="A16" s="10" t="s">
        <v>26</v>
      </c>
      <c r="B16" s="11" t="s">
        <v>27</v>
      </c>
      <c r="C16" s="12" t="s">
        <v>28</v>
      </c>
      <c r="D16" s="13"/>
      <c r="E16" s="14" t="s">
        <v>29</v>
      </c>
      <c r="F16" s="13"/>
    </row>
    <row r="17" customFormat="false" ht="23.25" hidden="false" customHeight="true" outlineLevel="0" collapsed="false">
      <c r="A17" s="10" t="s">
        <v>30</v>
      </c>
      <c r="B17" s="11" t="s">
        <v>31</v>
      </c>
      <c r="C17" s="12" t="s">
        <v>32</v>
      </c>
      <c r="D17" s="13"/>
      <c r="E17" s="14" t="s">
        <v>33</v>
      </c>
      <c r="F17" s="13"/>
    </row>
    <row r="18" customFormat="false" ht="23.25" hidden="false" customHeight="true" outlineLevel="0" collapsed="false">
      <c r="A18" s="10" t="s">
        <v>34</v>
      </c>
      <c r="B18" s="11" t="s">
        <v>35</v>
      </c>
      <c r="C18" s="12" t="s">
        <v>36</v>
      </c>
      <c r="D18" s="13"/>
      <c r="E18" s="14" t="s">
        <v>37</v>
      </c>
      <c r="F18" s="13"/>
    </row>
    <row r="20" customFormat="false" ht="15" hidden="false" customHeight="true" outlineLevel="0" collapsed="false">
      <c r="A20" s="6" t="s">
        <v>38</v>
      </c>
      <c r="B20" s="6"/>
      <c r="C20" s="6"/>
      <c r="D20" s="6"/>
      <c r="E20" s="6"/>
      <c r="F20" s="6"/>
    </row>
    <row r="21" customFormat="false" ht="15" hidden="false" customHeight="true" outlineLevel="0" collapsed="false">
      <c r="A21" s="9" t="s">
        <v>12</v>
      </c>
      <c r="B21" s="9" t="s">
        <v>13</v>
      </c>
      <c r="C21" s="9" t="s">
        <v>14</v>
      </c>
      <c r="D21" s="9" t="s">
        <v>15</v>
      </c>
      <c r="E21" s="9" t="s">
        <v>16</v>
      </c>
      <c r="F21" s="9" t="s">
        <v>17</v>
      </c>
    </row>
    <row r="22" customFormat="false" ht="23.25" hidden="false" customHeight="true" outlineLevel="0" collapsed="false">
      <c r="A22" s="10" t="s">
        <v>39</v>
      </c>
      <c r="B22" s="11" t="s">
        <v>40</v>
      </c>
      <c r="C22" s="12" t="s">
        <v>41</v>
      </c>
      <c r="D22" s="13"/>
      <c r="E22" s="14" t="s">
        <v>42</v>
      </c>
      <c r="F22" s="13"/>
    </row>
    <row r="23" customFormat="false" ht="23.25" hidden="false" customHeight="true" outlineLevel="0" collapsed="false">
      <c r="A23" s="10" t="s">
        <v>43</v>
      </c>
      <c r="B23" s="11" t="s">
        <v>44</v>
      </c>
      <c r="C23" s="12" t="s">
        <v>45</v>
      </c>
      <c r="D23" s="13"/>
      <c r="E23" s="14" t="s">
        <v>46</v>
      </c>
      <c r="F23" s="13"/>
    </row>
    <row r="24" customFormat="false" ht="23.25" hidden="false" customHeight="true" outlineLevel="0" collapsed="false">
      <c r="A24" s="10" t="s">
        <v>47</v>
      </c>
      <c r="B24" s="11" t="s">
        <v>48</v>
      </c>
      <c r="C24" s="12" t="s">
        <v>49</v>
      </c>
      <c r="D24" s="13"/>
      <c r="E24" s="14" t="s">
        <v>50</v>
      </c>
      <c r="F24" s="13"/>
    </row>
    <row r="25" customFormat="false" ht="23.25" hidden="false" customHeight="true" outlineLevel="0" collapsed="false">
      <c r="A25" s="10" t="s">
        <v>51</v>
      </c>
      <c r="B25" s="11" t="s">
        <v>52</v>
      </c>
      <c r="C25" s="12" t="s">
        <v>53</v>
      </c>
      <c r="D25" s="13"/>
      <c r="E25" s="14" t="s">
        <v>54</v>
      </c>
      <c r="F25" s="13"/>
    </row>
    <row r="26" customFormat="false" ht="23.25" hidden="false" customHeight="true" outlineLevel="0" collapsed="false">
      <c r="A26" s="10" t="s">
        <v>55</v>
      </c>
      <c r="B26" s="11" t="s">
        <v>56</v>
      </c>
      <c r="C26" s="12" t="s">
        <v>57</v>
      </c>
      <c r="D26" s="13"/>
      <c r="E26" s="14" t="s">
        <v>58</v>
      </c>
      <c r="F26" s="13"/>
    </row>
    <row r="28" customFormat="false" ht="15" hidden="false" customHeight="true" outlineLevel="0" collapsed="false">
      <c r="A28" s="6" t="s">
        <v>59</v>
      </c>
      <c r="B28" s="6"/>
      <c r="C28" s="6"/>
      <c r="D28" s="6"/>
      <c r="E28" s="6"/>
      <c r="F28" s="6"/>
    </row>
    <row r="29" customFormat="false" ht="15" hidden="false" customHeight="true" outlineLevel="0" collapsed="false">
      <c r="A29" s="9" t="s">
        <v>12</v>
      </c>
      <c r="B29" s="9" t="s">
        <v>13</v>
      </c>
      <c r="C29" s="9" t="s">
        <v>14</v>
      </c>
      <c r="D29" s="9" t="s">
        <v>15</v>
      </c>
      <c r="E29" s="9" t="s">
        <v>16</v>
      </c>
      <c r="F29" s="9" t="s">
        <v>17</v>
      </c>
    </row>
    <row r="30" customFormat="false" ht="23.25" hidden="false" customHeight="true" outlineLevel="0" collapsed="false">
      <c r="A30" s="10" t="s">
        <v>60</v>
      </c>
      <c r="B30" s="11" t="s">
        <v>61</v>
      </c>
      <c r="C30" s="12" t="s">
        <v>62</v>
      </c>
      <c r="D30" s="13"/>
      <c r="E30" s="14" t="s">
        <v>63</v>
      </c>
      <c r="F30" s="13"/>
    </row>
    <row r="31" customFormat="false" ht="23.25" hidden="false" customHeight="true" outlineLevel="0" collapsed="false">
      <c r="A31" s="10" t="s">
        <v>64</v>
      </c>
      <c r="B31" s="11" t="s">
        <v>65</v>
      </c>
      <c r="C31" s="12" t="s">
        <v>66</v>
      </c>
      <c r="D31" s="13"/>
      <c r="E31" s="14" t="s">
        <v>67</v>
      </c>
      <c r="F31" s="13"/>
    </row>
    <row r="32" customFormat="false" ht="23.25" hidden="false" customHeight="true" outlineLevel="0" collapsed="false">
      <c r="A32" s="10" t="s">
        <v>68</v>
      </c>
      <c r="B32" s="11" t="s">
        <v>69</v>
      </c>
      <c r="C32" s="12" t="s">
        <v>70</v>
      </c>
      <c r="D32" s="13"/>
      <c r="E32" s="14" t="s">
        <v>71</v>
      </c>
      <c r="F32" s="13"/>
    </row>
    <row r="33" customFormat="false" ht="23.25" hidden="false" customHeight="true" outlineLevel="0" collapsed="false">
      <c r="A33" s="10" t="s">
        <v>72</v>
      </c>
      <c r="B33" s="11" t="s">
        <v>73</v>
      </c>
      <c r="C33" s="12" t="s">
        <v>74</v>
      </c>
      <c r="D33" s="13"/>
      <c r="E33" s="14" t="s">
        <v>75</v>
      </c>
      <c r="F33" s="13"/>
    </row>
    <row r="34" customFormat="false" ht="23.25" hidden="false" customHeight="true" outlineLevel="0" collapsed="false">
      <c r="A34" s="10" t="s">
        <v>76</v>
      </c>
      <c r="B34" s="11" t="s">
        <v>77</v>
      </c>
      <c r="C34" s="12" t="s">
        <v>78</v>
      </c>
      <c r="D34" s="13"/>
      <c r="E34" s="14" t="s">
        <v>79</v>
      </c>
      <c r="F34" s="13"/>
    </row>
    <row r="36" customFormat="false" ht="15" hidden="false" customHeight="true" outlineLevel="0" collapsed="false">
      <c r="A36" s="6" t="s">
        <v>80</v>
      </c>
      <c r="B36" s="6"/>
      <c r="C36" s="6"/>
      <c r="D36" s="6"/>
      <c r="E36" s="6"/>
      <c r="F36" s="6"/>
    </row>
    <row r="37" customFormat="false" ht="15" hidden="false" customHeight="true" outlineLevel="0" collapsed="false">
      <c r="A37" s="9" t="s">
        <v>12</v>
      </c>
      <c r="B37" s="9" t="s">
        <v>13</v>
      </c>
      <c r="C37" s="9" t="s">
        <v>14</v>
      </c>
      <c r="D37" s="9" t="s">
        <v>15</v>
      </c>
      <c r="E37" s="9" t="s">
        <v>16</v>
      </c>
      <c r="F37" s="9" t="s">
        <v>17</v>
      </c>
    </row>
    <row r="38" customFormat="false" ht="23.25" hidden="false" customHeight="true" outlineLevel="0" collapsed="false">
      <c r="A38" s="10" t="s">
        <v>81</v>
      </c>
      <c r="B38" s="11" t="s">
        <v>82</v>
      </c>
      <c r="C38" s="12" t="s">
        <v>83</v>
      </c>
      <c r="D38" s="13"/>
      <c r="E38" s="14" t="s">
        <v>84</v>
      </c>
      <c r="F38" s="13"/>
    </row>
    <row r="39" customFormat="false" ht="23.25" hidden="false" customHeight="true" outlineLevel="0" collapsed="false">
      <c r="A39" s="10" t="s">
        <v>85</v>
      </c>
      <c r="B39" s="11" t="s">
        <v>86</v>
      </c>
      <c r="C39" s="12" t="s">
        <v>87</v>
      </c>
      <c r="D39" s="13"/>
      <c r="E39" s="14" t="s">
        <v>88</v>
      </c>
      <c r="F39" s="13"/>
    </row>
    <row r="40" customFormat="false" ht="23.25" hidden="false" customHeight="true" outlineLevel="0" collapsed="false">
      <c r="A40" s="10" t="s">
        <v>89</v>
      </c>
      <c r="B40" s="11" t="s">
        <v>90</v>
      </c>
      <c r="C40" s="12" t="s">
        <v>91</v>
      </c>
      <c r="D40" s="13"/>
      <c r="E40" s="14" t="s">
        <v>92</v>
      </c>
      <c r="F40" s="13"/>
    </row>
    <row r="41" customFormat="false" ht="23.25" hidden="false" customHeight="true" outlineLevel="0" collapsed="false">
      <c r="A41" s="10" t="s">
        <v>93</v>
      </c>
      <c r="B41" s="11" t="s">
        <v>94</v>
      </c>
      <c r="C41" s="12" t="s">
        <v>95</v>
      </c>
      <c r="D41" s="13"/>
      <c r="E41" s="14" t="s">
        <v>96</v>
      </c>
      <c r="F41" s="13"/>
    </row>
    <row r="42" customFormat="false" ht="23.25" hidden="false" customHeight="true" outlineLevel="0" collapsed="false">
      <c r="A42" s="10" t="s">
        <v>97</v>
      </c>
      <c r="B42" s="11" t="s">
        <v>98</v>
      </c>
      <c r="C42" s="12" t="s">
        <v>99</v>
      </c>
      <c r="D42" s="13"/>
      <c r="E42" s="14" t="s">
        <v>100</v>
      </c>
      <c r="F42" s="13"/>
    </row>
    <row r="44" customFormat="false" ht="15" hidden="false" customHeight="true" outlineLevel="0" collapsed="false">
      <c r="A44" s="6" t="s">
        <v>101</v>
      </c>
      <c r="B44" s="6"/>
      <c r="C44" s="6"/>
      <c r="D44" s="6"/>
      <c r="E44" s="6"/>
      <c r="F44" s="6"/>
    </row>
    <row r="45" customFormat="false" ht="15" hidden="false" customHeight="true" outlineLevel="0" collapsed="false">
      <c r="A45" s="9" t="s">
        <v>12</v>
      </c>
      <c r="B45" s="9" t="s">
        <v>13</v>
      </c>
      <c r="C45" s="9" t="s">
        <v>14</v>
      </c>
      <c r="D45" s="9" t="s">
        <v>15</v>
      </c>
      <c r="E45" s="9" t="s">
        <v>16</v>
      </c>
      <c r="F45" s="9" t="s">
        <v>17</v>
      </c>
    </row>
    <row r="46" customFormat="false" ht="23.25" hidden="false" customHeight="true" outlineLevel="0" collapsed="false">
      <c r="A46" s="10" t="s">
        <v>102</v>
      </c>
      <c r="B46" s="11" t="s">
        <v>103</v>
      </c>
      <c r="C46" s="12" t="s">
        <v>104</v>
      </c>
      <c r="D46" s="13"/>
      <c r="E46" s="14" t="s">
        <v>105</v>
      </c>
      <c r="F46" s="13"/>
    </row>
    <row r="47" customFormat="false" ht="34.5" hidden="false" customHeight="true" outlineLevel="0" collapsed="false">
      <c r="A47" s="10" t="s">
        <v>106</v>
      </c>
      <c r="B47" s="11" t="s">
        <v>107</v>
      </c>
      <c r="C47" s="12" t="s">
        <v>108</v>
      </c>
      <c r="D47" s="13"/>
      <c r="E47" s="14" t="s">
        <v>109</v>
      </c>
      <c r="F47" s="13"/>
    </row>
    <row r="48" customFormat="false" ht="23.25" hidden="false" customHeight="true" outlineLevel="0" collapsed="false">
      <c r="A48" s="10" t="s">
        <v>110</v>
      </c>
      <c r="B48" s="11" t="s">
        <v>111</v>
      </c>
      <c r="C48" s="12" t="s">
        <v>112</v>
      </c>
      <c r="D48" s="13"/>
      <c r="E48" s="14" t="s">
        <v>113</v>
      </c>
      <c r="F48" s="13"/>
    </row>
    <row r="49" customFormat="false" ht="23.25" hidden="false" customHeight="true" outlineLevel="0" collapsed="false">
      <c r="A49" s="10" t="s">
        <v>114</v>
      </c>
      <c r="B49" s="11" t="s">
        <v>115</v>
      </c>
      <c r="C49" s="12" t="s">
        <v>116</v>
      </c>
      <c r="D49" s="13"/>
      <c r="E49" s="14" t="s">
        <v>117</v>
      </c>
      <c r="F49" s="13"/>
    </row>
    <row r="50" customFormat="false" ht="23.25" hidden="false" customHeight="true" outlineLevel="0" collapsed="false">
      <c r="A50" s="10" t="s">
        <v>118</v>
      </c>
      <c r="B50" s="11" t="s">
        <v>119</v>
      </c>
      <c r="C50" s="12" t="s">
        <v>120</v>
      </c>
      <c r="D50" s="13"/>
      <c r="E50" s="14" t="s">
        <v>121</v>
      </c>
      <c r="F50" s="13"/>
    </row>
    <row r="51" customFormat="false" ht="23.25" hidden="false" customHeight="true" outlineLevel="0" collapsed="false">
      <c r="A51" s="10" t="s">
        <v>122</v>
      </c>
      <c r="B51" s="11" t="s">
        <v>123</v>
      </c>
      <c r="C51" s="12" t="s">
        <v>124</v>
      </c>
      <c r="D51" s="13"/>
      <c r="E51" s="14" t="s">
        <v>125</v>
      </c>
      <c r="F51" s="13"/>
    </row>
    <row r="54" customFormat="false" ht="15" hidden="false" customHeight="true" outlineLevel="0" collapsed="false">
      <c r="A54" s="6" t="s">
        <v>126</v>
      </c>
      <c r="B54" s="6"/>
      <c r="C54" s="6"/>
      <c r="D54" s="6"/>
      <c r="E54" s="6"/>
      <c r="F54" s="6"/>
    </row>
    <row r="55" customFormat="false" ht="15" hidden="false" customHeight="true" outlineLevel="0" collapsed="false">
      <c r="A55" s="7" t="s">
        <v>127</v>
      </c>
      <c r="B55" s="7"/>
      <c r="C55" s="7"/>
      <c r="D55" s="15" t="str">
        <f aca="false">IF(COUNT(D14:D18)&gt;0,AVERAGE(D14:D18)*0.2,"")</f>
        <v/>
      </c>
      <c r="E55" s="13"/>
      <c r="F55" s="13"/>
    </row>
    <row r="56" customFormat="false" ht="15" hidden="false" customHeight="true" outlineLevel="0" collapsed="false">
      <c r="A56" s="7" t="s">
        <v>128</v>
      </c>
      <c r="B56" s="7"/>
      <c r="C56" s="7"/>
      <c r="D56" s="15" t="str">
        <f aca="false">IF(COUNT(D22:D26)&gt;0,AVERAGE(D22:D26)*0.2,"")</f>
        <v/>
      </c>
      <c r="E56" s="13"/>
      <c r="F56" s="13"/>
    </row>
    <row r="57" customFormat="false" ht="15" hidden="false" customHeight="true" outlineLevel="0" collapsed="false">
      <c r="A57" s="7" t="s">
        <v>129</v>
      </c>
      <c r="B57" s="7"/>
      <c r="C57" s="7"/>
      <c r="D57" s="15" t="str">
        <f aca="false">IF(COUNT(D30:D34)&gt;0,AVERAGE(D30:D34)*0.2,"")</f>
        <v/>
      </c>
      <c r="E57" s="13"/>
      <c r="F57" s="13"/>
    </row>
    <row r="58" customFormat="false" ht="15" hidden="false" customHeight="true" outlineLevel="0" collapsed="false">
      <c r="A58" s="7" t="s">
        <v>130</v>
      </c>
      <c r="B58" s="7"/>
      <c r="C58" s="7"/>
      <c r="D58" s="15" t="str">
        <f aca="false">IF(COUNT(D38:D42)&gt;0,AVERAGE(D38:D42)*0.2,"")</f>
        <v/>
      </c>
      <c r="E58" s="13"/>
      <c r="F58" s="13"/>
    </row>
    <row r="59" customFormat="false" ht="15" hidden="false" customHeight="true" outlineLevel="0" collapsed="false">
      <c r="A59" s="7" t="s">
        <v>131</v>
      </c>
      <c r="B59" s="7"/>
      <c r="C59" s="7"/>
      <c r="D59" s="15" t="str">
        <f aca="false">IF(COUNT(D46:D51)&gt;0,AVERAGE(D46:D51)*0.2,"")</f>
        <v/>
      </c>
      <c r="E59" s="13"/>
      <c r="F59" s="13"/>
    </row>
    <row r="60" customFormat="false" ht="15" hidden="false" customHeight="true" outlineLevel="0" collapsed="false">
      <c r="A60" s="16" t="s">
        <v>126</v>
      </c>
      <c r="B60" s="16"/>
      <c r="C60" s="16"/>
      <c r="D60" s="17" t="str">
        <f aca="false">IF(COUNT(D55:D59)&gt;0,SUM(D55:D59),"")</f>
        <v/>
      </c>
      <c r="E60" s="13"/>
      <c r="F60" s="13"/>
    </row>
    <row r="61" customFormat="false" ht="15" hidden="false" customHeight="true" outlineLevel="0" collapsed="false">
      <c r="A61" s="16" t="s">
        <v>132</v>
      </c>
      <c r="B61" s="16"/>
      <c r="C61" s="16"/>
      <c r="D61" s="11" t="str">
        <f aca="false">IF(D60="","",IF(D60&gt;=4,"READY — Proceed to Phase 1",IF(D60&gt;=3,"CONDITIONALLY READY — Address gaps before Phase 2",IF(D60&gt;=2,"NOT READY — Significant preparation needed","FOUNDATIONAL — Establish prerequisites before AI program"))))</f>
        <v/>
      </c>
      <c r="E61" s="13"/>
      <c r="F61" s="13"/>
    </row>
    <row r="63" customFormat="false" ht="15" hidden="false" customHeight="true" outlineLevel="0" collapsed="false">
      <c r="A63" s="6" t="s">
        <v>133</v>
      </c>
      <c r="B63" s="6"/>
      <c r="C63" s="6"/>
      <c r="D63" s="6"/>
      <c r="E63" s="6"/>
      <c r="F63" s="6"/>
    </row>
    <row r="64" customFormat="false" ht="15" hidden="false" customHeight="true" outlineLevel="0" collapsed="false">
      <c r="A64" s="9" t="s">
        <v>134</v>
      </c>
      <c r="B64" s="9" t="s">
        <v>135</v>
      </c>
      <c r="C64" s="9" t="s">
        <v>136</v>
      </c>
      <c r="D64" s="9" t="s">
        <v>137</v>
      </c>
      <c r="E64" s="9" t="s">
        <v>138</v>
      </c>
      <c r="F64" s="9" t="s">
        <v>139</v>
      </c>
    </row>
    <row r="65" customFormat="false" ht="15" hidden="false" customHeight="true" outlineLevel="0" collapsed="false">
      <c r="A65" s="18" t="n">
        <v>1</v>
      </c>
      <c r="B65" s="19"/>
      <c r="C65" s="19"/>
      <c r="D65" s="19"/>
      <c r="E65" s="19"/>
      <c r="F65" s="19"/>
    </row>
    <row r="66" customFormat="false" ht="15" hidden="false" customHeight="true" outlineLevel="0" collapsed="false">
      <c r="A66" s="18" t="n">
        <v>2</v>
      </c>
      <c r="B66" s="19"/>
      <c r="C66" s="19"/>
      <c r="D66" s="19"/>
      <c r="E66" s="19"/>
      <c r="F66" s="19"/>
    </row>
    <row r="67" customFormat="false" ht="15" hidden="false" customHeight="true" outlineLevel="0" collapsed="false">
      <c r="A67" s="18" t="n">
        <v>3</v>
      </c>
      <c r="B67" s="19"/>
      <c r="C67" s="19"/>
      <c r="D67" s="19"/>
      <c r="E67" s="19"/>
      <c r="F67" s="19"/>
    </row>
    <row r="68" customFormat="false" ht="15" hidden="false" customHeight="true" outlineLevel="0" collapsed="false">
      <c r="A68" s="18" t="n">
        <v>4</v>
      </c>
      <c r="B68" s="19"/>
      <c r="C68" s="19"/>
      <c r="D68" s="19"/>
      <c r="E68" s="19"/>
      <c r="F68" s="19"/>
    </row>
    <row r="69" customFormat="false" ht="15" hidden="false" customHeight="true" outlineLevel="0" collapsed="false">
      <c r="A69" s="18" t="n">
        <v>5</v>
      </c>
      <c r="B69" s="19"/>
      <c r="C69" s="19"/>
      <c r="D69" s="19"/>
      <c r="E69" s="19"/>
      <c r="F69" s="19"/>
    </row>
    <row r="70" customFormat="false" ht="15" hidden="false" customHeight="true" outlineLevel="0" collapsed="false">
      <c r="A70" s="18" t="n">
        <v>6</v>
      </c>
      <c r="B70" s="19"/>
      <c r="C70" s="19"/>
      <c r="D70" s="19"/>
      <c r="E70" s="19"/>
      <c r="F70" s="19"/>
    </row>
    <row r="71" customFormat="false" ht="15" hidden="false" customHeight="true" outlineLevel="0" collapsed="false">
      <c r="A71" s="18" t="n">
        <v>7</v>
      </c>
      <c r="B71" s="19"/>
      <c r="C71" s="19"/>
      <c r="D71" s="19"/>
      <c r="E71" s="19"/>
      <c r="F71" s="19"/>
    </row>
    <row r="72" customFormat="false" ht="15" hidden="false" customHeight="true" outlineLevel="0" collapsed="false">
      <c r="A72" s="18" t="n">
        <v>8</v>
      </c>
      <c r="B72" s="19"/>
      <c r="C72" s="19"/>
      <c r="D72" s="19"/>
      <c r="E72" s="19"/>
      <c r="F72" s="19"/>
    </row>
    <row r="73" customFormat="false" ht="15" hidden="false" customHeight="true" outlineLevel="0" collapsed="false">
      <c r="A73" s="18" t="n">
        <v>9</v>
      </c>
      <c r="B73" s="19"/>
      <c r="C73" s="19"/>
      <c r="D73" s="19"/>
      <c r="E73" s="19"/>
      <c r="F73" s="19"/>
    </row>
    <row r="74" customFormat="false" ht="15" hidden="false" customHeight="true" outlineLevel="0" collapsed="false">
      <c r="A74" s="18" t="n">
        <v>10</v>
      </c>
      <c r="B74" s="19"/>
      <c r="C74" s="19"/>
      <c r="D74" s="19"/>
      <c r="E74" s="19"/>
      <c r="F74" s="19"/>
    </row>
    <row r="76" customFormat="false" ht="15" hidden="false" customHeight="true" outlineLevel="0" collapsed="false">
      <c r="A76" s="6" t="s">
        <v>140</v>
      </c>
      <c r="B76" s="6"/>
      <c r="C76" s="6"/>
      <c r="D76" s="6"/>
      <c r="E76" s="6"/>
      <c r="F76" s="6"/>
    </row>
    <row r="77" customFormat="false" ht="15" hidden="false" customHeight="true" outlineLevel="0" collapsed="false">
      <c r="A77" s="7" t="s">
        <v>141</v>
      </c>
      <c r="B77" s="8"/>
      <c r="C77" s="8"/>
      <c r="D77" s="8"/>
      <c r="E77" s="8"/>
      <c r="F77" s="8"/>
    </row>
    <row r="78" customFormat="false" ht="15" hidden="false" customHeight="true" outlineLevel="0" collapsed="false">
      <c r="A78" s="7" t="s">
        <v>142</v>
      </c>
      <c r="B78" s="8"/>
      <c r="C78" s="8"/>
      <c r="D78" s="8"/>
      <c r="E78" s="8"/>
      <c r="F78" s="8"/>
    </row>
    <row r="79" customFormat="false" ht="15" hidden="false" customHeight="true" outlineLevel="0" collapsed="false">
      <c r="A79" s="7" t="s">
        <v>143</v>
      </c>
      <c r="B79" s="8"/>
      <c r="C79" s="8"/>
      <c r="D79" s="8"/>
      <c r="E79" s="8"/>
      <c r="F79" s="8"/>
    </row>
    <row r="80" customFormat="false" ht="15" hidden="false" customHeight="true" outlineLevel="0" collapsed="false">
      <c r="A80" s="7" t="s">
        <v>142</v>
      </c>
      <c r="B80" s="8"/>
      <c r="C80" s="8"/>
      <c r="D80" s="8"/>
      <c r="E80" s="8"/>
      <c r="F80" s="8"/>
    </row>
    <row r="81" customFormat="false" ht="15" hidden="false" customHeight="true" outlineLevel="0" collapsed="false">
      <c r="A81" s="7" t="s">
        <v>144</v>
      </c>
      <c r="B81" s="8"/>
      <c r="C81" s="8"/>
      <c r="D81" s="8"/>
      <c r="E81" s="8"/>
      <c r="F81" s="8"/>
    </row>
  </sheetData>
  <mergeCells count="29">
    <mergeCell ref="A1:F1"/>
    <mergeCell ref="A2:F2"/>
    <mergeCell ref="A3:F3"/>
    <mergeCell ref="A5:F5"/>
    <mergeCell ref="B6:F6"/>
    <mergeCell ref="B7:F7"/>
    <mergeCell ref="B8:F8"/>
    <mergeCell ref="B9:F9"/>
    <mergeCell ref="B10:F10"/>
    <mergeCell ref="A12:F12"/>
    <mergeCell ref="A20:F20"/>
    <mergeCell ref="A28:F28"/>
    <mergeCell ref="A36:F36"/>
    <mergeCell ref="A44:F44"/>
    <mergeCell ref="A54:F54"/>
    <mergeCell ref="A55:C55"/>
    <mergeCell ref="A56:C56"/>
    <mergeCell ref="A57:C57"/>
    <mergeCell ref="A58:C58"/>
    <mergeCell ref="A59:C59"/>
    <mergeCell ref="A60:C60"/>
    <mergeCell ref="A61:C61"/>
    <mergeCell ref="A63:F63"/>
    <mergeCell ref="A76:F76"/>
    <mergeCell ref="B77:F77"/>
    <mergeCell ref="B78:F78"/>
    <mergeCell ref="B79:F79"/>
    <mergeCell ref="B80:F80"/>
    <mergeCell ref="B81:F81"/>
  </mergeCells>
  <dataValidations count="1">
    <dataValidation allowBlank="false" errorStyle="stop" operator="between" prompt="Score 1 (Not Ready) to 5 (Fully Ready)" showDropDown="false" showErrorMessage="false" showInputMessage="false" sqref="D14:D18 D22:D26 D30:D34 D38:D42 D46:D51" type="whole">
      <formula1>1</formula1>
      <formula2>5</formula2>
    </dataValidation>
  </dataValidations>
  <printOptions headings="false" gridLines="false" gridLinesSet="true" horizontalCentered="true" verticalCentered="false"/>
  <pageMargins left="0.4" right="0.4" top="0.5" bottom="0.5" header="0.3" footer="0.3"/>
  <pageSetup paperSize="9"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Appendix_M_Institutional_Capacity_Assessment&amp;R&amp;"Arial,Regular"&amp;9 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80"/>
  </cols>
  <sheetData>
    <row r="1" customFormat="false" ht="15" hidden="false" customHeight="true" outlineLevel="0" collapsed="false">
      <c r="A1" s="20" t="s">
        <v>145</v>
      </c>
      <c r="B1" s="20"/>
    </row>
    <row r="3" customFormat="false" ht="23.25" hidden="false" customHeight="true" outlineLevel="0" collapsed="false">
      <c r="A3" s="7" t="s">
        <v>146</v>
      </c>
      <c r="B3" s="12" t="s">
        <v>147</v>
      </c>
    </row>
    <row r="4" customFormat="false" ht="23.25" hidden="false" customHeight="true" outlineLevel="0" collapsed="false">
      <c r="A4" s="7" t="s">
        <v>148</v>
      </c>
      <c r="B4" s="12" t="s">
        <v>149</v>
      </c>
    </row>
    <row r="5" customFormat="false" ht="23.25" hidden="false" customHeight="true" outlineLevel="0" collapsed="false">
      <c r="A5" s="7" t="s">
        <v>150</v>
      </c>
      <c r="B5" s="12" t="s">
        <v>151</v>
      </c>
    </row>
    <row r="6" customFormat="false" ht="23.25" hidden="false" customHeight="true" outlineLevel="0" collapsed="false">
      <c r="A6" s="7" t="s">
        <v>152</v>
      </c>
      <c r="B6" s="12" t="s">
        <v>153</v>
      </c>
    </row>
    <row r="7" customFormat="false" ht="23.25" hidden="false" customHeight="true" outlineLevel="0" collapsed="false">
      <c r="A7" s="7" t="s">
        <v>154</v>
      </c>
      <c r="B7" s="12" t="s">
        <v>155</v>
      </c>
    </row>
    <row r="10" customFormat="false" ht="15" hidden="false" customHeight="true" outlineLevel="0" collapsed="false">
      <c r="A10" s="21" t="s">
        <v>156</v>
      </c>
      <c r="B10" s="22"/>
    </row>
    <row r="11" customFormat="false" ht="15" hidden="false" customHeight="true" outlineLevel="0" collapsed="false">
      <c r="A11" s="7" t="s">
        <v>157</v>
      </c>
      <c r="B11" s="12" t="s">
        <v>158</v>
      </c>
    </row>
    <row r="12" customFormat="false" ht="23.25" hidden="false" customHeight="true" outlineLevel="0" collapsed="false">
      <c r="A12" s="7" t="s">
        <v>159</v>
      </c>
      <c r="B12" s="12" t="s">
        <v>160</v>
      </c>
    </row>
    <row r="13" customFormat="false" ht="23.25" hidden="false" customHeight="true" outlineLevel="0" collapsed="false">
      <c r="A13" s="7" t="s">
        <v>161</v>
      </c>
      <c r="B13" s="12" t="s">
        <v>162</v>
      </c>
    </row>
    <row r="14" customFormat="false" ht="23.25" hidden="false" customHeight="true" outlineLevel="0" collapsed="false">
      <c r="A14" s="7" t="s">
        <v>163</v>
      </c>
      <c r="B14" s="12" t="s">
        <v>164</v>
      </c>
    </row>
  </sheetData>
  <mergeCells count="1">
    <mergeCell ref="A1:B1"/>
  </mergeCells>
  <printOptions headings="false" gridLines="false" gridLinesSet="true" horizontalCentered="true" verticalCentered="false"/>
  <pageMargins left="0.4" right="0.4" top="0.5" bottom="0.5" header="0.3" footer="0.3"/>
  <pageSetup paperSize="9" scale="100" fitToWidth="1" fitToHeight="0" pageOrder="downThenOver" orientation="portrait" blackAndWhite="false" draft="false" cellComments="none" horizontalDpi="300" verticalDpi="300" copies="1"/>
  <headerFooter differentFirst="false" differentOddEven="false">
    <oddHeader>&amp;R&amp;"Arial,Italic"&amp;8  SCDES AI Governance Framework — Final, May 2026</oddHeader>
    <oddFooter>&amp;L&amp;"Arial,Italic"&amp;8 Appendix_M_Institutional_Capacity_Assessment&amp;R&amp;"Arial,Regular"&amp;9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2026-03-20T15:02:24Z</dcterms:created>
  <dc:creator>openpyxl</dc:creator>
  <dc:description/>
  <dc:language>en-US</dc:language>
  <cp:lastModifiedBy/>
  <dcterms:modified xsi:type="dcterms:W3CDTF">2026-07-09T23:40:48Z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